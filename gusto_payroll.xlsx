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23040" windowHeight="8808" firstSheet="1" activeTab="5"/>
  </bookViews>
  <sheets>
    <sheet name="total_payroll" sheetId="2" r:id="rId1"/>
    <sheet name="payroll_type" sheetId="3" r:id="rId2"/>
    <sheet name="monthly_payroll" sheetId="4" r:id="rId3"/>
    <sheet name="total_employee" sheetId="6" r:id="rId4"/>
    <sheet name="gusto_payroll" sheetId="1" r:id="rId5"/>
    <sheet name="dashboard" sheetId="5" r:id="rId6"/>
  </sheets>
  <calcPr calcId="0"/>
  <pivotCaches>
    <pivotCache cacheId="9" r:id="rId7"/>
  </pivotCaches>
</workbook>
</file>

<file path=xl/calcChain.xml><?xml version="1.0" encoding="utf-8"?>
<calcChain xmlns="http://schemas.openxmlformats.org/spreadsheetml/2006/main">
  <c r="J4" i="1" l="1"/>
  <c r="J3" i="1"/>
</calcChain>
</file>

<file path=xl/sharedStrings.xml><?xml version="1.0" encoding="utf-8"?>
<sst xmlns="http://schemas.openxmlformats.org/spreadsheetml/2006/main" count="508" uniqueCount="34">
  <si>
    <t>pay_date</t>
  </si>
  <si>
    <t>employee_id</t>
  </si>
  <si>
    <t>employee_name</t>
  </si>
  <si>
    <t>role</t>
  </si>
  <si>
    <t>type</t>
  </si>
  <si>
    <t>amount</t>
  </si>
  <si>
    <t>account</t>
  </si>
  <si>
    <t>E001</t>
  </si>
  <si>
    <t>Alice Smith</t>
  </si>
  <si>
    <t>Barista</t>
  </si>
  <si>
    <t>Employee Pay</t>
  </si>
  <si>
    <t>Checking Secondary</t>
  </si>
  <si>
    <t>E002</t>
  </si>
  <si>
    <t>Ben Lee</t>
  </si>
  <si>
    <t>E003</t>
  </si>
  <si>
    <t>Carla Gomez</t>
  </si>
  <si>
    <t>Manager</t>
  </si>
  <si>
    <t>C001</t>
  </si>
  <si>
    <t>David Jones</t>
  </si>
  <si>
    <t>Marketing Contractor</t>
  </si>
  <si>
    <t>Contractor Pay</t>
  </si>
  <si>
    <t>Row Labels</t>
  </si>
  <si>
    <t>Grand Total</t>
  </si>
  <si>
    <t>Sum of amount</t>
  </si>
  <si>
    <t>TOTAL PAYROLL BY ROLE</t>
  </si>
  <si>
    <t>PAYROLL BY TYPE</t>
  </si>
  <si>
    <t>MONTHLY PAYROLL TREND</t>
  </si>
  <si>
    <t>TOTAL</t>
  </si>
  <si>
    <t>TOTAL PAYROLL</t>
  </si>
  <si>
    <t>AVERAGE</t>
  </si>
  <si>
    <t>AVERAGE PAYROLL</t>
  </si>
  <si>
    <t>Count of employee_name</t>
  </si>
  <si>
    <t>TOTAL EMPLOYEES</t>
  </si>
  <si>
    <t>FULL TIME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</si>
</sst>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8" fillId="4" borderId="0" xfId="8"/>
    <xf numFmtId="0" fontId="6" fillId="2" borderId="0" xfId="6"/>
    <xf numFmtId="0" fontId="7" fillId="3" borderId="0" xfId="7"/>
    <xf numFmtId="0" fontId="7" fillId="3" borderId="0" xfId="7" applyAlignment="1">
      <alignment horizontal="left"/>
    </xf>
    <xf numFmtId="0" fontId="20" fillId="33" borderId="0" xfId="0" applyFon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165" fontId="6" fillId="2" borderId="0" xfId="6" applyNumberFormat="1"/>
    <xf numFmtId="165" fontId="8" fillId="4" borderId="0" xfId="8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[gusto_payroll.xlsx]total_payroll!PivotTable1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total_payroll!$B$3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total_payroll!$A$4:$A$7</c:f>
              <c:strCache>
                <c:ptCount val="3"/>
                <c:pt idx="0">
                  <c:v>Barista</c:v>
                </c:pt>
                <c:pt idx="1">
                  <c:v>Manager</c:v>
                </c:pt>
                <c:pt idx="2">
                  <c:v>Marketing Contractor</c:v>
                </c:pt>
              </c:strCache>
            </c:strRef>
          </c:cat>
          <c:val>
            <c:numRef>
              <c:f>total_payroll!$B$4:$B$7</c:f>
              <c:numCache>
                <c:formatCode>General</c:formatCode>
                <c:ptCount val="3"/>
                <c:pt idx="0">
                  <c:v>81246</c:v>
                </c:pt>
                <c:pt idx="1">
                  <c:v>50755</c:v>
                </c:pt>
                <c:pt idx="2">
                  <c:v>27853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155200"/>
        <c:axId val="281152848"/>
      </c:barChart>
      <c:catAx>
        <c:axId val="28115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52848"/>
        <c:crosses val="autoZero"/>
        <c:auto val="1"/>
        <c:lblAlgn val="ctr"/>
        <c:lblOffset val="100"/>
        <c:noMultiLvlLbl val="0"/>
      </c:catAx>
      <c:valAx>
        <c:axId val="2811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5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[gusto_payroll.xlsx]payroll_type!PivotTable2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payroll_type!$B$3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payroll_type!$A$4:$A$6</c:f>
              <c:strCache>
                <c:ptCount val="2"/>
                <c:pt idx="0">
                  <c:v>Contractor Pay</c:v>
                </c:pt>
                <c:pt idx="1">
                  <c:v>Employee Pay</c:v>
                </c:pt>
              </c:strCache>
            </c:strRef>
          </c:cat>
          <c:val>
            <c:numRef>
              <c:f>payroll_type!$B$4:$B$6</c:f>
              <c:numCache>
                <c:formatCode>General</c:formatCode>
                <c:ptCount val="2"/>
                <c:pt idx="0">
                  <c:v>27853</c:v>
                </c:pt>
                <c:pt idx="1">
                  <c:v>132001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149712"/>
        <c:axId val="281153632"/>
      </c:barChart>
      <c:catAx>
        <c:axId val="2811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53632"/>
        <c:crosses val="autoZero"/>
        <c:auto val="1"/>
        <c:lblAlgn val="ctr"/>
        <c:lblOffset val="100"/>
        <c:noMultiLvlLbl val="0"/>
      </c:catAx>
      <c:valAx>
        <c:axId val="2811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4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[gusto_payroll.xlsx]monthly_payroll!PivotTable3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monthly_payroll!$B$3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monthly_payroll!$A$4:$A$27</c:f>
              <c:strCache>
                <c:ptCount val="23"/>
                <c:pt idx="0">
                  <c:v>15-02-2022</c:v>
                </c:pt>
                <c:pt idx="1">
                  <c:v>15-03-2022</c:v>
                </c:pt>
                <c:pt idx="2">
                  <c:v>15-04-2022</c:v>
                </c:pt>
                <c:pt idx="3">
                  <c:v>15-05-2022</c:v>
                </c:pt>
                <c:pt idx="4">
                  <c:v>15-06-2022</c:v>
                </c:pt>
                <c:pt idx="5">
                  <c:v>15-07-2022</c:v>
                </c:pt>
                <c:pt idx="6">
                  <c:v>15-08-2022</c:v>
                </c:pt>
                <c:pt idx="7">
                  <c:v>15-09-2022</c:v>
                </c:pt>
                <c:pt idx="8">
                  <c:v>15-10-2022</c:v>
                </c:pt>
                <c:pt idx="9">
                  <c:v>15-11-2022</c:v>
                </c:pt>
                <c:pt idx="10">
                  <c:v>15-12-2022</c:v>
                </c:pt>
                <c:pt idx="11">
                  <c:v>15-01-2023</c:v>
                </c:pt>
                <c:pt idx="12">
                  <c:v>15-02-2023</c:v>
                </c:pt>
                <c:pt idx="13">
                  <c:v>15-03-2023</c:v>
                </c:pt>
                <c:pt idx="14">
                  <c:v>15-04-2023</c:v>
                </c:pt>
                <c:pt idx="15">
                  <c:v>15-05-2023</c:v>
                </c:pt>
                <c:pt idx="16">
                  <c:v>15-06-2023</c:v>
                </c:pt>
                <c:pt idx="17">
                  <c:v>15-07-2023</c:v>
                </c:pt>
                <c:pt idx="18">
                  <c:v>15-08-2023</c:v>
                </c:pt>
                <c:pt idx="19">
                  <c:v>15-09-2023</c:v>
                </c:pt>
                <c:pt idx="20">
                  <c:v>15-10-2023</c:v>
                </c:pt>
                <c:pt idx="21">
                  <c:v>15-11-2023</c:v>
                </c:pt>
                <c:pt idx="22">
                  <c:v>15-12-2023</c:v>
                </c:pt>
              </c:strCache>
            </c:strRef>
          </c:cat>
          <c:val>
            <c:numRef>
              <c:f>monthly_payroll!$B$4:$B$27</c:f>
              <c:numCache>
                <c:formatCode>General</c:formatCode>
                <c:ptCount val="23"/>
                <c:pt idx="0">
                  <c:v>7002</c:v>
                </c:pt>
                <c:pt idx="1">
                  <c:v>7063</c:v>
                </c:pt>
                <c:pt idx="2">
                  <c:v>6827</c:v>
                </c:pt>
                <c:pt idx="3">
                  <c:v>7074</c:v>
                </c:pt>
                <c:pt idx="4">
                  <c:v>6996</c:v>
                </c:pt>
                <c:pt idx="5">
                  <c:v>6795</c:v>
                </c:pt>
                <c:pt idx="6">
                  <c:v>6822</c:v>
                </c:pt>
                <c:pt idx="7">
                  <c:v>6830</c:v>
                </c:pt>
                <c:pt idx="8">
                  <c:v>6985</c:v>
                </c:pt>
                <c:pt idx="9">
                  <c:v>7005</c:v>
                </c:pt>
                <c:pt idx="10">
                  <c:v>7089</c:v>
                </c:pt>
                <c:pt idx="11">
                  <c:v>6914</c:v>
                </c:pt>
                <c:pt idx="12">
                  <c:v>6951</c:v>
                </c:pt>
                <c:pt idx="13">
                  <c:v>7003</c:v>
                </c:pt>
                <c:pt idx="14">
                  <c:v>6821</c:v>
                </c:pt>
                <c:pt idx="15">
                  <c:v>7091</c:v>
                </c:pt>
                <c:pt idx="16">
                  <c:v>6872</c:v>
                </c:pt>
                <c:pt idx="17">
                  <c:v>6895</c:v>
                </c:pt>
                <c:pt idx="18">
                  <c:v>6901</c:v>
                </c:pt>
                <c:pt idx="19">
                  <c:v>6950</c:v>
                </c:pt>
                <c:pt idx="20">
                  <c:v>7014</c:v>
                </c:pt>
                <c:pt idx="21">
                  <c:v>7080</c:v>
                </c:pt>
                <c:pt idx="22">
                  <c:v>6874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[gusto_payroll.xlsx]total_payroll!PivotTable1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total_payroll!$B$3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total_payroll!$A$4:$A$7</c:f>
              <c:strCache>
                <c:ptCount val="3"/>
                <c:pt idx="0">
                  <c:v>Barista</c:v>
                </c:pt>
                <c:pt idx="1">
                  <c:v>Manager</c:v>
                </c:pt>
                <c:pt idx="2">
                  <c:v>Marketing Contractor</c:v>
                </c:pt>
              </c:strCache>
            </c:strRef>
          </c:cat>
          <c:val>
            <c:numRef>
              <c:f>total_payroll!$B$4:$B$7</c:f>
              <c:numCache>
                <c:formatCode>General</c:formatCode>
                <c:ptCount val="3"/>
                <c:pt idx="0">
                  <c:v>81246</c:v>
                </c:pt>
                <c:pt idx="1">
                  <c:v>50755</c:v>
                </c:pt>
                <c:pt idx="2">
                  <c:v>27853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5213712"/>
        <c:axId val="355217240"/>
      </c:barChart>
      <c:catAx>
        <c:axId val="35521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17240"/>
        <c:crosses val="autoZero"/>
        <c:auto val="1"/>
        <c:lblAlgn val="ctr"/>
        <c:lblOffset val="100"/>
        <c:noMultiLvlLbl val="0"/>
      </c:catAx>
      <c:valAx>
        <c:axId val="35521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1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[gusto_payroll.xlsx]payroll_type!PivotTable2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payroll_type!$B$3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payroll_type!$A$4:$A$6</c:f>
              <c:strCache>
                <c:ptCount val="2"/>
                <c:pt idx="0">
                  <c:v>Contractor Pay</c:v>
                </c:pt>
                <c:pt idx="1">
                  <c:v>Employee Pay</c:v>
                </c:pt>
              </c:strCache>
            </c:strRef>
          </c:cat>
          <c:val>
            <c:numRef>
              <c:f>payroll_type!$B$4:$B$6</c:f>
              <c:numCache>
                <c:formatCode>General</c:formatCode>
                <c:ptCount val="2"/>
                <c:pt idx="0">
                  <c:v>27853</c:v>
                </c:pt>
                <c:pt idx="1">
                  <c:v>132001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125504"/>
        <c:axId val="355123152"/>
      </c:barChart>
      <c:catAx>
        <c:axId val="3551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23152"/>
        <c:crosses val="autoZero"/>
        <c:auto val="1"/>
        <c:lblAlgn val="ctr"/>
        <c:lblOffset val="100"/>
        <c:noMultiLvlLbl val="0"/>
      </c:catAx>
      <c:valAx>
        <c:axId val="3551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2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[gusto_payroll.xlsx]monthly_payroll!PivotTable3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monthly_payroll!$B$3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monthly_payroll!$A$4:$A$27</c:f>
              <c:strCache>
                <c:ptCount val="23"/>
                <c:pt idx="0">
                  <c:v>15-02-2022</c:v>
                </c:pt>
                <c:pt idx="1">
                  <c:v>15-03-2022</c:v>
                </c:pt>
                <c:pt idx="2">
                  <c:v>15-04-2022</c:v>
                </c:pt>
                <c:pt idx="3">
                  <c:v>15-05-2022</c:v>
                </c:pt>
                <c:pt idx="4">
                  <c:v>15-06-2022</c:v>
                </c:pt>
                <c:pt idx="5">
                  <c:v>15-07-2022</c:v>
                </c:pt>
                <c:pt idx="6">
                  <c:v>15-08-2022</c:v>
                </c:pt>
                <c:pt idx="7">
                  <c:v>15-09-2022</c:v>
                </c:pt>
                <c:pt idx="8">
                  <c:v>15-10-2022</c:v>
                </c:pt>
                <c:pt idx="9">
                  <c:v>15-11-2022</c:v>
                </c:pt>
                <c:pt idx="10">
                  <c:v>15-12-2022</c:v>
                </c:pt>
                <c:pt idx="11">
                  <c:v>15-01-2023</c:v>
                </c:pt>
                <c:pt idx="12">
                  <c:v>15-02-2023</c:v>
                </c:pt>
                <c:pt idx="13">
                  <c:v>15-03-2023</c:v>
                </c:pt>
                <c:pt idx="14">
                  <c:v>15-04-2023</c:v>
                </c:pt>
                <c:pt idx="15">
                  <c:v>15-05-2023</c:v>
                </c:pt>
                <c:pt idx="16">
                  <c:v>15-06-2023</c:v>
                </c:pt>
                <c:pt idx="17">
                  <c:v>15-07-2023</c:v>
                </c:pt>
                <c:pt idx="18">
                  <c:v>15-08-2023</c:v>
                </c:pt>
                <c:pt idx="19">
                  <c:v>15-09-2023</c:v>
                </c:pt>
                <c:pt idx="20">
                  <c:v>15-10-2023</c:v>
                </c:pt>
                <c:pt idx="21">
                  <c:v>15-11-2023</c:v>
                </c:pt>
                <c:pt idx="22">
                  <c:v>15-12-2023</c:v>
                </c:pt>
              </c:strCache>
            </c:strRef>
          </c:cat>
          <c:val>
            <c:numRef>
              <c:f>monthly_payroll!$B$4:$B$27</c:f>
              <c:numCache>
                <c:formatCode>General</c:formatCode>
                <c:ptCount val="23"/>
                <c:pt idx="0">
                  <c:v>7002</c:v>
                </c:pt>
                <c:pt idx="1">
                  <c:v>7063</c:v>
                </c:pt>
                <c:pt idx="2">
                  <c:v>6827</c:v>
                </c:pt>
                <c:pt idx="3">
                  <c:v>7074</c:v>
                </c:pt>
                <c:pt idx="4">
                  <c:v>6996</c:v>
                </c:pt>
                <c:pt idx="5">
                  <c:v>6795</c:v>
                </c:pt>
                <c:pt idx="6">
                  <c:v>6822</c:v>
                </c:pt>
                <c:pt idx="7">
                  <c:v>6830</c:v>
                </c:pt>
                <c:pt idx="8">
                  <c:v>6985</c:v>
                </c:pt>
                <c:pt idx="9">
                  <c:v>7005</c:v>
                </c:pt>
                <c:pt idx="10">
                  <c:v>7089</c:v>
                </c:pt>
                <c:pt idx="11">
                  <c:v>6914</c:v>
                </c:pt>
                <c:pt idx="12">
                  <c:v>6951</c:v>
                </c:pt>
                <c:pt idx="13">
                  <c:v>7003</c:v>
                </c:pt>
                <c:pt idx="14">
                  <c:v>6821</c:v>
                </c:pt>
                <c:pt idx="15">
                  <c:v>7091</c:v>
                </c:pt>
                <c:pt idx="16">
                  <c:v>6872</c:v>
                </c:pt>
                <c:pt idx="17">
                  <c:v>6895</c:v>
                </c:pt>
                <c:pt idx="18">
                  <c:v>6901</c:v>
                </c:pt>
                <c:pt idx="19">
                  <c:v>6950</c:v>
                </c:pt>
                <c:pt idx="20">
                  <c:v>7014</c:v>
                </c:pt>
                <c:pt idx="21">
                  <c:v>7080</c:v>
                </c:pt>
                <c:pt idx="22">
                  <c:v>6874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0</xdr:rowOff>
    </xdr:from>
    <xdr:to>
      <xdr:col>9</xdr:col>
      <xdr:colOff>320040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53340</xdr:rowOff>
    </xdr:from>
    <xdr:to>
      <xdr:col>8</xdr:col>
      <xdr:colOff>213360</xdr:colOff>
      <xdr:row>12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45720</xdr:rowOff>
    </xdr:from>
    <xdr:to>
      <xdr:col>11</xdr:col>
      <xdr:colOff>0</xdr:colOff>
      <xdr:row>26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38100</xdr:rowOff>
    </xdr:from>
    <xdr:to>
      <xdr:col>6</xdr:col>
      <xdr:colOff>15240</xdr:colOff>
      <xdr:row>18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13</xdr:col>
      <xdr:colOff>83820</xdr:colOff>
      <xdr:row>17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22</xdr:row>
      <xdr:rowOff>76200</xdr:rowOff>
    </xdr:from>
    <xdr:to>
      <xdr:col>10</xdr:col>
      <xdr:colOff>563880</xdr:colOff>
      <xdr:row>46</xdr:row>
      <xdr:rowOff>175260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21.450307754632" createdVersion="5" refreshedVersion="5" minRefreshableVersion="3" recordCount="92">
  <cacheSource type="worksheet">
    <worksheetSource name="Table1"/>
  </cacheSource>
  <cacheFields count="7">
    <cacheField name="pay_date" numFmtId="14">
      <sharedItems containsSemiMixedTypes="0" containsNonDate="0" containsDate="1" containsString="0" minDate="2022-02-15T00:00:00" maxDate="2023-12-16T00:00:00" count="23">
        <d v="2022-02-15T00:00:00"/>
        <d v="2022-03-15T00:00:00"/>
        <d v="2022-04-15T00:00:00"/>
        <d v="2022-05-15T00:00:00"/>
        <d v="2022-06-15T00:00:00"/>
        <d v="2022-07-15T00:00:00"/>
        <d v="2022-08-15T00:00:00"/>
        <d v="2022-09-15T00:00:00"/>
        <d v="2022-10-15T00:00:00"/>
        <d v="2022-11-15T00:00:00"/>
        <d v="2022-12-15T00:00:00"/>
        <d v="2023-01-15T00:00:00"/>
        <d v="2023-02-15T00:00:00"/>
        <d v="2023-03-15T00:00:00"/>
        <d v="2023-04-15T00:00:00"/>
        <d v="2023-05-15T00:00:00"/>
        <d v="2023-06-15T00:00:00"/>
        <d v="2023-07-15T00:00:00"/>
        <d v="2023-08-15T00:00:00"/>
        <d v="2023-09-15T00:00:00"/>
        <d v="2023-10-15T00:00:00"/>
        <d v="2023-11-15T00:00:00"/>
        <d v="2023-12-15T00:00:00"/>
      </sharedItems>
    </cacheField>
    <cacheField name="employee_id" numFmtId="0">
      <sharedItems/>
    </cacheField>
    <cacheField name="employee_name" numFmtId="0">
      <sharedItems count="4">
        <s v="Alice Smith"/>
        <s v="Ben Lee"/>
        <s v="Carla Gomez"/>
        <s v="David Jones"/>
      </sharedItems>
    </cacheField>
    <cacheField name="role" numFmtId="0">
      <sharedItems count="3">
        <s v="Barista"/>
        <s v="Manager"/>
        <s v="Marketing Contractor"/>
      </sharedItems>
    </cacheField>
    <cacheField name="type" numFmtId="0">
      <sharedItems count="2">
        <s v="Employee Pay"/>
        <s v="Contractor Pay"/>
      </sharedItems>
    </cacheField>
    <cacheField name="amount" numFmtId="0">
      <sharedItems containsSemiMixedTypes="0" containsString="0" containsNumber="1" containsInteger="1" minValue="1113" maxValue="2289"/>
    </cacheField>
    <cacheField name="acc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">
  <r>
    <x v="0"/>
    <s v="E001"/>
    <x v="0"/>
    <x v="0"/>
    <x v="0"/>
    <n v="1865"/>
    <s v="Checking Secondary"/>
  </r>
  <r>
    <x v="0"/>
    <s v="E002"/>
    <x v="1"/>
    <x v="0"/>
    <x v="0"/>
    <n v="1731"/>
    <s v="Checking Secondary"/>
  </r>
  <r>
    <x v="0"/>
    <s v="E003"/>
    <x v="2"/>
    <x v="1"/>
    <x v="0"/>
    <n v="2272"/>
    <s v="Checking Secondary"/>
  </r>
  <r>
    <x v="0"/>
    <s v="C001"/>
    <x v="3"/>
    <x v="2"/>
    <x v="1"/>
    <n v="1134"/>
    <s v="Checking Secondary"/>
  </r>
  <r>
    <x v="1"/>
    <s v="E001"/>
    <x v="0"/>
    <x v="0"/>
    <x v="0"/>
    <n v="1857"/>
    <s v="Checking Secondary"/>
  </r>
  <r>
    <x v="1"/>
    <s v="E002"/>
    <x v="1"/>
    <x v="0"/>
    <x v="0"/>
    <n v="1807"/>
    <s v="Checking Secondary"/>
  </r>
  <r>
    <x v="1"/>
    <s v="E003"/>
    <x v="2"/>
    <x v="1"/>
    <x v="0"/>
    <n v="2233"/>
    <s v="Checking Secondary"/>
  </r>
  <r>
    <x v="1"/>
    <s v="C001"/>
    <x v="3"/>
    <x v="2"/>
    <x v="1"/>
    <n v="1166"/>
    <s v="Checking Secondary"/>
  </r>
  <r>
    <x v="2"/>
    <s v="E001"/>
    <x v="0"/>
    <x v="0"/>
    <x v="0"/>
    <n v="1779"/>
    <s v="Checking Secondary"/>
  </r>
  <r>
    <x v="2"/>
    <s v="E002"/>
    <x v="1"/>
    <x v="0"/>
    <x v="0"/>
    <n v="1656"/>
    <s v="Checking Secondary"/>
  </r>
  <r>
    <x v="2"/>
    <s v="E003"/>
    <x v="2"/>
    <x v="1"/>
    <x v="0"/>
    <n v="2279"/>
    <s v="Checking Secondary"/>
  </r>
  <r>
    <x v="2"/>
    <s v="C001"/>
    <x v="3"/>
    <x v="2"/>
    <x v="1"/>
    <n v="1113"/>
    <s v="Checking Secondary"/>
  </r>
  <r>
    <x v="3"/>
    <s v="E001"/>
    <x v="0"/>
    <x v="0"/>
    <x v="0"/>
    <n v="1772"/>
    <s v="Checking Secondary"/>
  </r>
  <r>
    <x v="3"/>
    <s v="E002"/>
    <x v="1"/>
    <x v="0"/>
    <x v="0"/>
    <n v="1792"/>
    <s v="Checking Secondary"/>
  </r>
  <r>
    <x v="3"/>
    <s v="E003"/>
    <x v="2"/>
    <x v="1"/>
    <x v="0"/>
    <n v="2248"/>
    <s v="Checking Secondary"/>
  </r>
  <r>
    <x v="3"/>
    <s v="C001"/>
    <x v="3"/>
    <x v="2"/>
    <x v="1"/>
    <n v="1262"/>
    <s v="Checking Secondary"/>
  </r>
  <r>
    <x v="4"/>
    <s v="E001"/>
    <x v="0"/>
    <x v="0"/>
    <x v="0"/>
    <n v="1765"/>
    <s v="Checking Secondary"/>
  </r>
  <r>
    <x v="4"/>
    <s v="E002"/>
    <x v="1"/>
    <x v="0"/>
    <x v="0"/>
    <n v="1740"/>
    <s v="Checking Secondary"/>
  </r>
  <r>
    <x v="4"/>
    <s v="E003"/>
    <x v="2"/>
    <x v="1"/>
    <x v="0"/>
    <n v="2229"/>
    <s v="Checking Secondary"/>
  </r>
  <r>
    <x v="4"/>
    <s v="C001"/>
    <x v="3"/>
    <x v="2"/>
    <x v="1"/>
    <n v="1262"/>
    <s v="Checking Secondary"/>
  </r>
  <r>
    <x v="5"/>
    <s v="E001"/>
    <x v="0"/>
    <x v="0"/>
    <x v="0"/>
    <n v="1719"/>
    <s v="Checking Secondary"/>
  </r>
  <r>
    <x v="5"/>
    <s v="E002"/>
    <x v="1"/>
    <x v="0"/>
    <x v="0"/>
    <n v="1659"/>
    <s v="Checking Secondary"/>
  </r>
  <r>
    <x v="5"/>
    <s v="E003"/>
    <x v="2"/>
    <x v="1"/>
    <x v="0"/>
    <n v="2124"/>
    <s v="Checking Secondary"/>
  </r>
  <r>
    <x v="5"/>
    <s v="C001"/>
    <x v="3"/>
    <x v="2"/>
    <x v="1"/>
    <n v="1293"/>
    <s v="Checking Secondary"/>
  </r>
  <r>
    <x v="6"/>
    <s v="E001"/>
    <x v="0"/>
    <x v="0"/>
    <x v="0"/>
    <n v="1724"/>
    <s v="Checking Secondary"/>
  </r>
  <r>
    <x v="6"/>
    <s v="E002"/>
    <x v="1"/>
    <x v="0"/>
    <x v="0"/>
    <n v="1703"/>
    <s v="Checking Secondary"/>
  </r>
  <r>
    <x v="6"/>
    <s v="E003"/>
    <x v="2"/>
    <x v="1"/>
    <x v="0"/>
    <n v="2132"/>
    <s v="Checking Secondary"/>
  </r>
  <r>
    <x v="6"/>
    <s v="C001"/>
    <x v="3"/>
    <x v="2"/>
    <x v="1"/>
    <n v="1263"/>
    <s v="Checking Secondary"/>
  </r>
  <r>
    <x v="7"/>
    <s v="E001"/>
    <x v="0"/>
    <x v="0"/>
    <x v="0"/>
    <n v="1794"/>
    <s v="Checking Secondary"/>
  </r>
  <r>
    <x v="7"/>
    <s v="E002"/>
    <x v="1"/>
    <x v="0"/>
    <x v="0"/>
    <n v="1663"/>
    <s v="Checking Secondary"/>
  </r>
  <r>
    <x v="7"/>
    <s v="E003"/>
    <x v="2"/>
    <x v="1"/>
    <x v="0"/>
    <n v="2164"/>
    <s v="Checking Secondary"/>
  </r>
  <r>
    <x v="7"/>
    <s v="C001"/>
    <x v="3"/>
    <x v="2"/>
    <x v="1"/>
    <n v="1209"/>
    <s v="Checking Secondary"/>
  </r>
  <r>
    <x v="8"/>
    <s v="E001"/>
    <x v="0"/>
    <x v="0"/>
    <x v="0"/>
    <n v="1779"/>
    <s v="Checking Secondary"/>
  </r>
  <r>
    <x v="8"/>
    <s v="E002"/>
    <x v="1"/>
    <x v="0"/>
    <x v="0"/>
    <n v="1703"/>
    <s v="Checking Secondary"/>
  </r>
  <r>
    <x v="8"/>
    <s v="E003"/>
    <x v="2"/>
    <x v="1"/>
    <x v="0"/>
    <n v="2224"/>
    <s v="Checking Secondary"/>
  </r>
  <r>
    <x v="8"/>
    <s v="C001"/>
    <x v="3"/>
    <x v="2"/>
    <x v="1"/>
    <n v="1279"/>
    <s v="Checking Secondary"/>
  </r>
  <r>
    <x v="9"/>
    <s v="E001"/>
    <x v="0"/>
    <x v="0"/>
    <x v="0"/>
    <n v="1830"/>
    <s v="Checking Secondary"/>
  </r>
  <r>
    <x v="9"/>
    <s v="E002"/>
    <x v="1"/>
    <x v="0"/>
    <x v="0"/>
    <n v="1818"/>
    <s v="Checking Secondary"/>
  </r>
  <r>
    <x v="9"/>
    <s v="E003"/>
    <x v="2"/>
    <x v="1"/>
    <x v="0"/>
    <n v="2233"/>
    <s v="Checking Secondary"/>
  </r>
  <r>
    <x v="9"/>
    <s v="C001"/>
    <x v="3"/>
    <x v="2"/>
    <x v="1"/>
    <n v="1124"/>
    <s v="Checking Secondary"/>
  </r>
  <r>
    <x v="10"/>
    <s v="E001"/>
    <x v="0"/>
    <x v="0"/>
    <x v="0"/>
    <n v="1840"/>
    <s v="Checking Secondary"/>
  </r>
  <r>
    <x v="10"/>
    <s v="E002"/>
    <x v="1"/>
    <x v="0"/>
    <x v="0"/>
    <n v="1766"/>
    <s v="Checking Secondary"/>
  </r>
  <r>
    <x v="10"/>
    <s v="E003"/>
    <x v="2"/>
    <x v="1"/>
    <x v="0"/>
    <n v="2235"/>
    <s v="Checking Secondary"/>
  </r>
  <r>
    <x v="10"/>
    <s v="C001"/>
    <x v="3"/>
    <x v="2"/>
    <x v="1"/>
    <n v="1248"/>
    <s v="Checking Secondary"/>
  </r>
  <r>
    <x v="11"/>
    <s v="E001"/>
    <x v="0"/>
    <x v="0"/>
    <x v="0"/>
    <n v="1895"/>
    <s v="Checking Secondary"/>
  </r>
  <r>
    <x v="11"/>
    <s v="E002"/>
    <x v="1"/>
    <x v="0"/>
    <x v="0"/>
    <n v="1674"/>
    <s v="Checking Secondary"/>
  </r>
  <r>
    <x v="11"/>
    <s v="E003"/>
    <x v="2"/>
    <x v="1"/>
    <x v="0"/>
    <n v="2178"/>
    <s v="Checking Secondary"/>
  </r>
  <r>
    <x v="11"/>
    <s v="C001"/>
    <x v="3"/>
    <x v="2"/>
    <x v="1"/>
    <n v="1167"/>
    <s v="Checking Secondary"/>
  </r>
  <r>
    <x v="12"/>
    <s v="E001"/>
    <x v="0"/>
    <x v="0"/>
    <x v="0"/>
    <n v="1872"/>
    <s v="Checking Secondary"/>
  </r>
  <r>
    <x v="12"/>
    <s v="E002"/>
    <x v="1"/>
    <x v="0"/>
    <x v="0"/>
    <n v="1837"/>
    <s v="Checking Secondary"/>
  </r>
  <r>
    <x v="12"/>
    <s v="E003"/>
    <x v="2"/>
    <x v="1"/>
    <x v="0"/>
    <n v="2111"/>
    <s v="Checking Secondary"/>
  </r>
  <r>
    <x v="12"/>
    <s v="C001"/>
    <x v="3"/>
    <x v="2"/>
    <x v="1"/>
    <n v="1131"/>
    <s v="Checking Secondary"/>
  </r>
  <r>
    <x v="13"/>
    <s v="E001"/>
    <x v="0"/>
    <x v="0"/>
    <x v="0"/>
    <n v="1827"/>
    <s v="Checking Secondary"/>
  </r>
  <r>
    <x v="13"/>
    <s v="E002"/>
    <x v="1"/>
    <x v="0"/>
    <x v="0"/>
    <n v="1745"/>
    <s v="Checking Secondary"/>
  </r>
  <r>
    <x v="13"/>
    <s v="E003"/>
    <x v="2"/>
    <x v="1"/>
    <x v="0"/>
    <n v="2191"/>
    <s v="Checking Secondary"/>
  </r>
  <r>
    <x v="13"/>
    <s v="C001"/>
    <x v="3"/>
    <x v="2"/>
    <x v="1"/>
    <n v="1240"/>
    <s v="Checking Secondary"/>
  </r>
  <r>
    <x v="14"/>
    <s v="E001"/>
    <x v="0"/>
    <x v="0"/>
    <x v="0"/>
    <n v="1730"/>
    <s v="Checking Secondary"/>
  </r>
  <r>
    <x v="14"/>
    <s v="E002"/>
    <x v="1"/>
    <x v="0"/>
    <x v="0"/>
    <n v="1727"/>
    <s v="Checking Secondary"/>
  </r>
  <r>
    <x v="14"/>
    <s v="E003"/>
    <x v="2"/>
    <x v="1"/>
    <x v="0"/>
    <n v="2119"/>
    <s v="Checking Secondary"/>
  </r>
  <r>
    <x v="14"/>
    <s v="C001"/>
    <x v="3"/>
    <x v="2"/>
    <x v="1"/>
    <n v="1245"/>
    <s v="Checking Secondary"/>
  </r>
  <r>
    <x v="15"/>
    <s v="E001"/>
    <x v="0"/>
    <x v="0"/>
    <x v="0"/>
    <n v="1759"/>
    <s v="Checking Secondary"/>
  </r>
  <r>
    <x v="15"/>
    <s v="E002"/>
    <x v="1"/>
    <x v="0"/>
    <x v="0"/>
    <n v="1840"/>
    <s v="Checking Secondary"/>
  </r>
  <r>
    <x v="15"/>
    <s v="E003"/>
    <x v="2"/>
    <x v="1"/>
    <x v="0"/>
    <n v="2233"/>
    <s v="Checking Secondary"/>
  </r>
  <r>
    <x v="15"/>
    <s v="C001"/>
    <x v="3"/>
    <x v="2"/>
    <x v="1"/>
    <n v="1259"/>
    <s v="Checking Secondary"/>
  </r>
  <r>
    <x v="16"/>
    <s v="E001"/>
    <x v="0"/>
    <x v="0"/>
    <x v="0"/>
    <n v="1792"/>
    <s v="Checking Secondary"/>
  </r>
  <r>
    <x v="16"/>
    <s v="E002"/>
    <x v="1"/>
    <x v="0"/>
    <x v="0"/>
    <n v="1692"/>
    <s v="Checking Secondary"/>
  </r>
  <r>
    <x v="16"/>
    <s v="E003"/>
    <x v="2"/>
    <x v="1"/>
    <x v="0"/>
    <n v="2229"/>
    <s v="Checking Secondary"/>
  </r>
  <r>
    <x v="16"/>
    <s v="C001"/>
    <x v="3"/>
    <x v="2"/>
    <x v="1"/>
    <n v="1159"/>
    <s v="Checking Secondary"/>
  </r>
  <r>
    <x v="17"/>
    <s v="E001"/>
    <x v="0"/>
    <x v="0"/>
    <x v="0"/>
    <n v="1850"/>
    <s v="Checking Secondary"/>
  </r>
  <r>
    <x v="17"/>
    <s v="E002"/>
    <x v="1"/>
    <x v="0"/>
    <x v="0"/>
    <n v="1680"/>
    <s v="Checking Secondary"/>
  </r>
  <r>
    <x v="17"/>
    <s v="E003"/>
    <x v="2"/>
    <x v="1"/>
    <x v="0"/>
    <n v="2104"/>
    <s v="Checking Secondary"/>
  </r>
  <r>
    <x v="17"/>
    <s v="C001"/>
    <x v="3"/>
    <x v="2"/>
    <x v="1"/>
    <n v="1261"/>
    <s v="Checking Secondary"/>
  </r>
  <r>
    <x v="18"/>
    <s v="E001"/>
    <x v="0"/>
    <x v="0"/>
    <x v="0"/>
    <n v="1709"/>
    <s v="Checking Secondary"/>
  </r>
  <r>
    <x v="18"/>
    <s v="E002"/>
    <x v="1"/>
    <x v="0"/>
    <x v="0"/>
    <n v="1738"/>
    <s v="Checking Secondary"/>
  </r>
  <r>
    <x v="18"/>
    <s v="E003"/>
    <x v="2"/>
    <x v="1"/>
    <x v="0"/>
    <n v="2229"/>
    <s v="Checking Secondary"/>
  </r>
  <r>
    <x v="18"/>
    <s v="C001"/>
    <x v="3"/>
    <x v="2"/>
    <x v="1"/>
    <n v="1225"/>
    <s v="Checking Secondary"/>
  </r>
  <r>
    <x v="19"/>
    <s v="E001"/>
    <x v="0"/>
    <x v="0"/>
    <x v="0"/>
    <n v="1710"/>
    <s v="Checking Secondary"/>
  </r>
  <r>
    <x v="19"/>
    <s v="E002"/>
    <x v="1"/>
    <x v="0"/>
    <x v="0"/>
    <n v="1827"/>
    <s v="Checking Secondary"/>
  </r>
  <r>
    <x v="19"/>
    <s v="E003"/>
    <x v="2"/>
    <x v="1"/>
    <x v="0"/>
    <n v="2258"/>
    <s v="Checking Secondary"/>
  </r>
  <r>
    <x v="19"/>
    <s v="C001"/>
    <x v="3"/>
    <x v="2"/>
    <x v="1"/>
    <n v="1155"/>
    <s v="Checking Secondary"/>
  </r>
  <r>
    <x v="20"/>
    <s v="E001"/>
    <x v="0"/>
    <x v="0"/>
    <x v="0"/>
    <n v="1782"/>
    <s v="Checking Secondary"/>
  </r>
  <r>
    <x v="20"/>
    <s v="E002"/>
    <x v="1"/>
    <x v="0"/>
    <x v="0"/>
    <n v="1786"/>
    <s v="Checking Secondary"/>
  </r>
  <r>
    <x v="20"/>
    <s v="E003"/>
    <x v="2"/>
    <x v="1"/>
    <x v="0"/>
    <n v="2198"/>
    <s v="Checking Secondary"/>
  </r>
  <r>
    <x v="20"/>
    <s v="C001"/>
    <x v="3"/>
    <x v="2"/>
    <x v="1"/>
    <n v="1248"/>
    <s v="Checking Secondary"/>
  </r>
  <r>
    <x v="21"/>
    <s v="E001"/>
    <x v="0"/>
    <x v="0"/>
    <x v="0"/>
    <n v="1772"/>
    <s v="Checking Secondary"/>
  </r>
  <r>
    <x v="21"/>
    <s v="E002"/>
    <x v="1"/>
    <x v="0"/>
    <x v="0"/>
    <n v="1805"/>
    <s v="Checking Secondary"/>
  </r>
  <r>
    <x v="21"/>
    <s v="E003"/>
    <x v="2"/>
    <x v="1"/>
    <x v="0"/>
    <n v="2289"/>
    <s v="Checking Secondary"/>
  </r>
  <r>
    <x v="21"/>
    <s v="C001"/>
    <x v="3"/>
    <x v="2"/>
    <x v="1"/>
    <n v="1214"/>
    <s v="Checking Secondary"/>
  </r>
  <r>
    <x v="22"/>
    <s v="E001"/>
    <x v="0"/>
    <x v="0"/>
    <x v="0"/>
    <n v="1706"/>
    <s v="Checking Secondary"/>
  </r>
  <r>
    <x v="22"/>
    <s v="E002"/>
    <x v="1"/>
    <x v="0"/>
    <x v="0"/>
    <n v="1729"/>
    <s v="Checking Secondary"/>
  </r>
  <r>
    <x v="22"/>
    <s v="E003"/>
    <x v="2"/>
    <x v="1"/>
    <x v="0"/>
    <n v="2243"/>
    <s v="Checking Secondary"/>
  </r>
  <r>
    <x v="22"/>
    <s v="C001"/>
    <x v="3"/>
    <x v="2"/>
    <x v="1"/>
    <n v="1196"/>
    <s v="Checking Second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7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6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27" firstHeaderRow="1" firstDataRow="1" firstDataCol="1"/>
  <pivotFields count="7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mount" fld="5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7">
    <pivotField numFmtId="14"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9:P14" firstHeaderRow="1" firstDataRow="1" firstDataCol="1"/>
  <pivotFields count="7">
    <pivotField numFmtId="14"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name" fld="2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93" totalsRowShown="0">
  <autoFilter ref="A1:G93"/>
  <tableColumns count="7">
    <tableColumn id="1" name="pay_date" dataDxfId="6"/>
    <tableColumn id="2" name="employee_id"/>
    <tableColumn id="3" name="employee_name"/>
    <tableColumn id="4" name="role"/>
    <tableColumn id="5" name="type"/>
    <tableColumn id="6" name="amount"/>
    <tableColumn id="7" name="ac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2"/>
    </sheetView>
  </sheetViews>
  <sheetFormatPr defaultRowHeight="14.4" x14ac:dyDescent="0.3"/>
  <cols>
    <col min="1" max="1" width="18.77734375" bestFit="1" customWidth="1"/>
    <col min="2" max="2" width="14.21875" bestFit="1" customWidth="1"/>
  </cols>
  <sheetData>
    <row r="1" spans="1:9" x14ac:dyDescent="0.3">
      <c r="A1" s="6" t="s">
        <v>24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2" t="s">
        <v>21</v>
      </c>
      <c r="B3" t="s">
        <v>23</v>
      </c>
    </row>
    <row r="4" spans="1:9" x14ac:dyDescent="0.3">
      <c r="A4" s="3" t="s">
        <v>9</v>
      </c>
      <c r="B4" s="4">
        <v>81246</v>
      </c>
    </row>
    <row r="5" spans="1:9" x14ac:dyDescent="0.3">
      <c r="A5" s="3" t="s">
        <v>16</v>
      </c>
      <c r="B5" s="4">
        <v>50755</v>
      </c>
    </row>
    <row r="6" spans="1:9" x14ac:dyDescent="0.3">
      <c r="A6" s="3" t="s">
        <v>19</v>
      </c>
      <c r="B6" s="4">
        <v>27853</v>
      </c>
    </row>
    <row r="7" spans="1:9" x14ac:dyDescent="0.3">
      <c r="A7" s="3" t="s">
        <v>22</v>
      </c>
      <c r="B7" s="4">
        <v>159854</v>
      </c>
    </row>
  </sheetData>
  <mergeCells count="1">
    <mergeCell ref="A1:I2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2"/>
    </sheetView>
  </sheetViews>
  <sheetFormatPr defaultRowHeight="14.4" x14ac:dyDescent="0.3"/>
  <cols>
    <col min="1" max="1" width="13.33203125" bestFit="1" customWidth="1"/>
    <col min="2" max="2" width="14.21875" bestFit="1" customWidth="1"/>
  </cols>
  <sheetData>
    <row r="1" spans="1:6" x14ac:dyDescent="0.3">
      <c r="A1" s="6" t="s">
        <v>25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2" t="s">
        <v>21</v>
      </c>
      <c r="B3" t="s">
        <v>23</v>
      </c>
    </row>
    <row r="4" spans="1:6" x14ac:dyDescent="0.3">
      <c r="A4" s="3" t="s">
        <v>20</v>
      </c>
      <c r="B4" s="4">
        <v>27853</v>
      </c>
    </row>
    <row r="5" spans="1:6" x14ac:dyDescent="0.3">
      <c r="A5" s="3" t="s">
        <v>10</v>
      </c>
      <c r="B5" s="4">
        <v>132001</v>
      </c>
    </row>
    <row r="6" spans="1:6" x14ac:dyDescent="0.3">
      <c r="A6" s="3" t="s">
        <v>22</v>
      </c>
      <c r="B6" s="4">
        <v>159854</v>
      </c>
    </row>
  </sheetData>
  <mergeCells count="1">
    <mergeCell ref="A1:F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G2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1" spans="1:7" x14ac:dyDescent="0.3">
      <c r="A1" s="6" t="s">
        <v>26</v>
      </c>
      <c r="B1" s="6"/>
      <c r="C1" s="6"/>
      <c r="D1" s="6"/>
      <c r="E1" s="6"/>
      <c r="F1" s="6"/>
      <c r="G1" s="6"/>
    </row>
    <row r="2" spans="1:7" x14ac:dyDescent="0.3">
      <c r="A2" s="6"/>
      <c r="B2" s="6"/>
      <c r="C2" s="6"/>
      <c r="D2" s="6"/>
      <c r="E2" s="6"/>
      <c r="F2" s="6"/>
      <c r="G2" s="6"/>
    </row>
    <row r="3" spans="1:7" x14ac:dyDescent="0.3">
      <c r="A3" s="2" t="s">
        <v>21</v>
      </c>
      <c r="B3" t="s">
        <v>23</v>
      </c>
    </row>
    <row r="4" spans="1:7" x14ac:dyDescent="0.3">
      <c r="A4" s="7">
        <v>44607</v>
      </c>
      <c r="B4" s="4">
        <v>7002</v>
      </c>
    </row>
    <row r="5" spans="1:7" x14ac:dyDescent="0.3">
      <c r="A5" s="7">
        <v>44635</v>
      </c>
      <c r="B5" s="4">
        <v>7063</v>
      </c>
    </row>
    <row r="6" spans="1:7" x14ac:dyDescent="0.3">
      <c r="A6" s="7">
        <v>44666</v>
      </c>
      <c r="B6" s="4">
        <v>6827</v>
      </c>
    </row>
    <row r="7" spans="1:7" x14ac:dyDescent="0.3">
      <c r="A7" s="7">
        <v>44696</v>
      </c>
      <c r="B7" s="4">
        <v>7074</v>
      </c>
    </row>
    <row r="8" spans="1:7" x14ac:dyDescent="0.3">
      <c r="A8" s="7">
        <v>44727</v>
      </c>
      <c r="B8" s="4">
        <v>6996</v>
      </c>
    </row>
    <row r="9" spans="1:7" x14ac:dyDescent="0.3">
      <c r="A9" s="7">
        <v>44757</v>
      </c>
      <c r="B9" s="4">
        <v>6795</v>
      </c>
    </row>
    <row r="10" spans="1:7" x14ac:dyDescent="0.3">
      <c r="A10" s="7">
        <v>44788</v>
      </c>
      <c r="B10" s="4">
        <v>6822</v>
      </c>
    </row>
    <row r="11" spans="1:7" x14ac:dyDescent="0.3">
      <c r="A11" s="7">
        <v>44819</v>
      </c>
      <c r="B11" s="4">
        <v>6830</v>
      </c>
    </row>
    <row r="12" spans="1:7" x14ac:dyDescent="0.3">
      <c r="A12" s="7">
        <v>44849</v>
      </c>
      <c r="B12" s="4">
        <v>6985</v>
      </c>
    </row>
    <row r="13" spans="1:7" x14ac:dyDescent="0.3">
      <c r="A13" s="7">
        <v>44880</v>
      </c>
      <c r="B13" s="4">
        <v>7005</v>
      </c>
    </row>
    <row r="14" spans="1:7" x14ac:dyDescent="0.3">
      <c r="A14" s="7">
        <v>44910</v>
      </c>
      <c r="B14" s="4">
        <v>7089</v>
      </c>
    </row>
    <row r="15" spans="1:7" x14ac:dyDescent="0.3">
      <c r="A15" s="7">
        <v>44941</v>
      </c>
      <c r="B15" s="4">
        <v>6914</v>
      </c>
    </row>
    <row r="16" spans="1:7" x14ac:dyDescent="0.3">
      <c r="A16" s="7">
        <v>44972</v>
      </c>
      <c r="B16" s="4">
        <v>6951</v>
      </c>
    </row>
    <row r="17" spans="1:2" x14ac:dyDescent="0.3">
      <c r="A17" s="7">
        <v>45000</v>
      </c>
      <c r="B17" s="4">
        <v>7003</v>
      </c>
    </row>
    <row r="18" spans="1:2" x14ac:dyDescent="0.3">
      <c r="A18" s="7">
        <v>45031</v>
      </c>
      <c r="B18" s="4">
        <v>6821</v>
      </c>
    </row>
    <row r="19" spans="1:2" x14ac:dyDescent="0.3">
      <c r="A19" s="7">
        <v>45061</v>
      </c>
      <c r="B19" s="4">
        <v>7091</v>
      </c>
    </row>
    <row r="20" spans="1:2" x14ac:dyDescent="0.3">
      <c r="A20" s="7">
        <v>45092</v>
      </c>
      <c r="B20" s="4">
        <v>6872</v>
      </c>
    </row>
    <row r="21" spans="1:2" x14ac:dyDescent="0.3">
      <c r="A21" s="7">
        <v>45122</v>
      </c>
      <c r="B21" s="4">
        <v>6895</v>
      </c>
    </row>
    <row r="22" spans="1:2" x14ac:dyDescent="0.3">
      <c r="A22" s="7">
        <v>45153</v>
      </c>
      <c r="B22" s="4">
        <v>6901</v>
      </c>
    </row>
    <row r="23" spans="1:2" x14ac:dyDescent="0.3">
      <c r="A23" s="7">
        <v>45184</v>
      </c>
      <c r="B23" s="4">
        <v>6950</v>
      </c>
    </row>
    <row r="24" spans="1:2" x14ac:dyDescent="0.3">
      <c r="A24" s="7">
        <v>45214</v>
      </c>
      <c r="B24" s="4">
        <v>7014</v>
      </c>
    </row>
    <row r="25" spans="1:2" x14ac:dyDescent="0.3">
      <c r="A25" s="7">
        <v>45245</v>
      </c>
      <c r="B25" s="4">
        <v>7080</v>
      </c>
    </row>
    <row r="26" spans="1:2" x14ac:dyDescent="0.3">
      <c r="A26" s="7">
        <v>45275</v>
      </c>
      <c r="B26" s="4">
        <v>6874</v>
      </c>
    </row>
    <row r="27" spans="1:2" x14ac:dyDescent="0.3">
      <c r="A27" s="7" t="s">
        <v>22</v>
      </c>
      <c r="B27" s="4">
        <v>159854</v>
      </c>
    </row>
  </sheetData>
  <mergeCells count="1">
    <mergeCell ref="A1:G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2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1" spans="1:2" x14ac:dyDescent="0.3">
      <c r="A1" s="9" t="s">
        <v>32</v>
      </c>
      <c r="B1" s="9"/>
    </row>
    <row r="2" spans="1:2" x14ac:dyDescent="0.3">
      <c r="A2" s="9"/>
      <c r="B2" s="9"/>
    </row>
    <row r="3" spans="1:2" x14ac:dyDescent="0.3">
      <c r="A3" s="2" t="s">
        <v>21</v>
      </c>
      <c r="B3" t="s">
        <v>31</v>
      </c>
    </row>
    <row r="4" spans="1:2" x14ac:dyDescent="0.3">
      <c r="A4" s="3" t="s">
        <v>8</v>
      </c>
      <c r="B4" s="4">
        <v>23</v>
      </c>
    </row>
    <row r="5" spans="1:2" x14ac:dyDescent="0.3">
      <c r="A5" s="3" t="s">
        <v>13</v>
      </c>
      <c r="B5" s="4">
        <v>23</v>
      </c>
    </row>
    <row r="6" spans="1:2" x14ac:dyDescent="0.3">
      <c r="A6" s="3" t="s">
        <v>15</v>
      </c>
      <c r="B6" s="4">
        <v>23</v>
      </c>
    </row>
    <row r="7" spans="1:2" x14ac:dyDescent="0.3">
      <c r="A7" s="3" t="s">
        <v>18</v>
      </c>
      <c r="B7" s="4">
        <v>23</v>
      </c>
    </row>
    <row r="8" spans="1:2" x14ac:dyDescent="0.3">
      <c r="A8" s="3" t="s">
        <v>22</v>
      </c>
      <c r="B8" s="4">
        <v>92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opLeftCell="A2" workbookViewId="0">
      <selection activeCell="C12" sqref="A2:G93"/>
    </sheetView>
  </sheetViews>
  <sheetFormatPr defaultRowHeight="14.4" x14ac:dyDescent="0.3"/>
  <cols>
    <col min="1" max="1" width="20.109375" customWidth="1"/>
    <col min="2" max="2" width="13.77734375" customWidth="1"/>
    <col min="3" max="3" width="17" customWidth="1"/>
    <col min="6" max="6" width="9.5546875" customWidth="1"/>
    <col min="7" max="7" width="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s="1">
        <v>44607</v>
      </c>
      <c r="B2" t="s">
        <v>7</v>
      </c>
      <c r="C2" t="s">
        <v>8</v>
      </c>
      <c r="D2" t="s">
        <v>9</v>
      </c>
      <c r="E2" t="s">
        <v>10</v>
      </c>
      <c r="F2">
        <v>1865</v>
      </c>
      <c r="G2" t="s">
        <v>11</v>
      </c>
    </row>
    <row r="3" spans="1:10" x14ac:dyDescent="0.3">
      <c r="A3" s="1">
        <v>44607</v>
      </c>
      <c r="B3" t="s">
        <v>12</v>
      </c>
      <c r="C3" t="s">
        <v>13</v>
      </c>
      <c r="D3" t="s">
        <v>9</v>
      </c>
      <c r="E3" t="s">
        <v>10</v>
      </c>
      <c r="F3">
        <v>1731</v>
      </c>
      <c r="G3" t="s">
        <v>11</v>
      </c>
      <c r="I3" t="s">
        <v>27</v>
      </c>
      <c r="J3">
        <f>SUM(F:F)</f>
        <v>159854</v>
      </c>
    </row>
    <row r="4" spans="1:10" x14ac:dyDescent="0.3">
      <c r="A4" s="1">
        <v>44607</v>
      </c>
      <c r="B4" t="s">
        <v>14</v>
      </c>
      <c r="C4" t="s">
        <v>15</v>
      </c>
      <c r="D4" t="s">
        <v>16</v>
      </c>
      <c r="E4" t="s">
        <v>10</v>
      </c>
      <c r="F4">
        <v>2272</v>
      </c>
      <c r="G4" t="s">
        <v>11</v>
      </c>
      <c r="I4" t="s">
        <v>29</v>
      </c>
      <c r="J4">
        <f>AVERAGE(F:F)</f>
        <v>1737.5434782608695</v>
      </c>
    </row>
    <row r="5" spans="1:10" x14ac:dyDescent="0.3">
      <c r="A5" s="1">
        <v>44607</v>
      </c>
      <c r="B5" t="s">
        <v>17</v>
      </c>
      <c r="C5" t="s">
        <v>18</v>
      </c>
      <c r="D5" t="s">
        <v>19</v>
      </c>
      <c r="E5" t="s">
        <v>20</v>
      </c>
      <c r="F5">
        <v>1134</v>
      </c>
      <c r="G5" t="s">
        <v>11</v>
      </c>
    </row>
    <row r="6" spans="1:10" x14ac:dyDescent="0.3">
      <c r="A6" s="1">
        <v>44635</v>
      </c>
      <c r="B6" t="s">
        <v>7</v>
      </c>
      <c r="C6" t="s">
        <v>8</v>
      </c>
      <c r="D6" t="s">
        <v>9</v>
      </c>
      <c r="E6" t="s">
        <v>10</v>
      </c>
      <c r="F6">
        <v>1857</v>
      </c>
      <c r="G6" t="s">
        <v>11</v>
      </c>
    </row>
    <row r="7" spans="1:10" x14ac:dyDescent="0.3">
      <c r="A7" s="1">
        <v>44635</v>
      </c>
      <c r="B7" t="s">
        <v>12</v>
      </c>
      <c r="C7" t="s">
        <v>13</v>
      </c>
      <c r="D7" t="s">
        <v>9</v>
      </c>
      <c r="E7" t="s">
        <v>10</v>
      </c>
      <c r="F7">
        <v>1807</v>
      </c>
      <c r="G7" t="s">
        <v>11</v>
      </c>
    </row>
    <row r="8" spans="1:10" x14ac:dyDescent="0.3">
      <c r="A8" s="1">
        <v>44635</v>
      </c>
      <c r="B8" t="s">
        <v>14</v>
      </c>
      <c r="C8" t="s">
        <v>15</v>
      </c>
      <c r="D8" t="s">
        <v>16</v>
      </c>
      <c r="E8" t="s">
        <v>10</v>
      </c>
      <c r="F8">
        <v>2233</v>
      </c>
      <c r="G8" t="s">
        <v>11</v>
      </c>
    </row>
    <row r="9" spans="1:10" x14ac:dyDescent="0.3">
      <c r="A9" s="1">
        <v>44635</v>
      </c>
      <c r="B9" t="s">
        <v>17</v>
      </c>
      <c r="C9" t="s">
        <v>18</v>
      </c>
      <c r="D9" t="s">
        <v>19</v>
      </c>
      <c r="E9" t="s">
        <v>20</v>
      </c>
      <c r="F9">
        <v>1166</v>
      </c>
      <c r="G9" t="s">
        <v>11</v>
      </c>
    </row>
    <row r="10" spans="1:10" x14ac:dyDescent="0.3">
      <c r="A10" s="1">
        <v>44666</v>
      </c>
      <c r="B10" t="s">
        <v>7</v>
      </c>
      <c r="C10" t="s">
        <v>8</v>
      </c>
      <c r="D10" t="s">
        <v>9</v>
      </c>
      <c r="E10" t="s">
        <v>10</v>
      </c>
      <c r="F10">
        <v>1779</v>
      </c>
      <c r="G10" t="s">
        <v>11</v>
      </c>
    </row>
    <row r="11" spans="1:10" x14ac:dyDescent="0.3">
      <c r="A11" s="1">
        <v>44666</v>
      </c>
      <c r="B11" t="s">
        <v>12</v>
      </c>
      <c r="C11" t="s">
        <v>13</v>
      </c>
      <c r="D11" t="s">
        <v>9</v>
      </c>
      <c r="E11" t="s">
        <v>10</v>
      </c>
      <c r="F11">
        <v>1656</v>
      </c>
      <c r="G11" t="s">
        <v>11</v>
      </c>
    </row>
    <row r="12" spans="1:10" x14ac:dyDescent="0.3">
      <c r="A12" s="1">
        <v>44666</v>
      </c>
      <c r="B12" t="s">
        <v>14</v>
      </c>
      <c r="C12" t="s">
        <v>15</v>
      </c>
      <c r="D12" t="s">
        <v>16</v>
      </c>
      <c r="E12" t="s">
        <v>10</v>
      </c>
      <c r="F12">
        <v>2279</v>
      </c>
      <c r="G12" t="s">
        <v>11</v>
      </c>
    </row>
    <row r="13" spans="1:10" x14ac:dyDescent="0.3">
      <c r="A13" s="1">
        <v>44666</v>
      </c>
      <c r="B13" t="s">
        <v>17</v>
      </c>
      <c r="C13" t="s">
        <v>18</v>
      </c>
      <c r="D13" t="s">
        <v>19</v>
      </c>
      <c r="E13" t="s">
        <v>20</v>
      </c>
      <c r="F13">
        <v>1113</v>
      </c>
      <c r="G13" t="s">
        <v>11</v>
      </c>
    </row>
    <row r="14" spans="1:10" x14ac:dyDescent="0.3">
      <c r="A14" s="1">
        <v>44696</v>
      </c>
      <c r="B14" t="s">
        <v>7</v>
      </c>
      <c r="C14" t="s">
        <v>8</v>
      </c>
      <c r="D14" t="s">
        <v>9</v>
      </c>
      <c r="E14" t="s">
        <v>10</v>
      </c>
      <c r="F14">
        <v>1772</v>
      </c>
      <c r="G14" t="s">
        <v>11</v>
      </c>
    </row>
    <row r="15" spans="1:10" x14ac:dyDescent="0.3">
      <c r="A15" s="1">
        <v>44696</v>
      </c>
      <c r="B15" t="s">
        <v>12</v>
      </c>
      <c r="C15" t="s">
        <v>13</v>
      </c>
      <c r="D15" t="s">
        <v>9</v>
      </c>
      <c r="E15" t="s">
        <v>10</v>
      </c>
      <c r="F15">
        <v>1792</v>
      </c>
      <c r="G15" t="s">
        <v>11</v>
      </c>
    </row>
    <row r="16" spans="1:10" x14ac:dyDescent="0.3">
      <c r="A16" s="1">
        <v>44696</v>
      </c>
      <c r="B16" t="s">
        <v>14</v>
      </c>
      <c r="C16" t="s">
        <v>15</v>
      </c>
      <c r="D16" t="s">
        <v>16</v>
      </c>
      <c r="E16" t="s">
        <v>10</v>
      </c>
      <c r="F16">
        <v>2248</v>
      </c>
      <c r="G16" t="s">
        <v>11</v>
      </c>
    </row>
    <row r="17" spans="1:7" x14ac:dyDescent="0.3">
      <c r="A17" s="1">
        <v>44696</v>
      </c>
      <c r="B17" t="s">
        <v>17</v>
      </c>
      <c r="C17" t="s">
        <v>18</v>
      </c>
      <c r="D17" t="s">
        <v>19</v>
      </c>
      <c r="E17" t="s">
        <v>20</v>
      </c>
      <c r="F17">
        <v>1262</v>
      </c>
      <c r="G17" t="s">
        <v>11</v>
      </c>
    </row>
    <row r="18" spans="1:7" x14ac:dyDescent="0.3">
      <c r="A18" s="1">
        <v>44727</v>
      </c>
      <c r="B18" t="s">
        <v>7</v>
      </c>
      <c r="C18" t="s">
        <v>8</v>
      </c>
      <c r="D18" t="s">
        <v>9</v>
      </c>
      <c r="E18" t="s">
        <v>10</v>
      </c>
      <c r="F18">
        <v>1765</v>
      </c>
      <c r="G18" t="s">
        <v>11</v>
      </c>
    </row>
    <row r="19" spans="1:7" x14ac:dyDescent="0.3">
      <c r="A19" s="1">
        <v>44727</v>
      </c>
      <c r="B19" t="s">
        <v>12</v>
      </c>
      <c r="C19" t="s">
        <v>13</v>
      </c>
      <c r="D19" t="s">
        <v>9</v>
      </c>
      <c r="E19" t="s">
        <v>10</v>
      </c>
      <c r="F19">
        <v>1740</v>
      </c>
      <c r="G19" t="s">
        <v>11</v>
      </c>
    </row>
    <row r="20" spans="1:7" x14ac:dyDescent="0.3">
      <c r="A20" s="1">
        <v>44727</v>
      </c>
      <c r="B20" t="s">
        <v>14</v>
      </c>
      <c r="C20" t="s">
        <v>15</v>
      </c>
      <c r="D20" t="s">
        <v>16</v>
      </c>
      <c r="E20" t="s">
        <v>10</v>
      </c>
      <c r="F20">
        <v>2229</v>
      </c>
      <c r="G20" t="s">
        <v>11</v>
      </c>
    </row>
    <row r="21" spans="1:7" x14ac:dyDescent="0.3">
      <c r="A21" s="1">
        <v>44727</v>
      </c>
      <c r="B21" t="s">
        <v>17</v>
      </c>
      <c r="C21" t="s">
        <v>18</v>
      </c>
      <c r="D21" t="s">
        <v>19</v>
      </c>
      <c r="E21" t="s">
        <v>20</v>
      </c>
      <c r="F21">
        <v>1262</v>
      </c>
      <c r="G21" t="s">
        <v>11</v>
      </c>
    </row>
    <row r="22" spans="1:7" x14ac:dyDescent="0.3">
      <c r="A22" s="1">
        <v>44757</v>
      </c>
      <c r="B22" t="s">
        <v>7</v>
      </c>
      <c r="C22" t="s">
        <v>8</v>
      </c>
      <c r="D22" t="s">
        <v>9</v>
      </c>
      <c r="E22" t="s">
        <v>10</v>
      </c>
      <c r="F22">
        <v>1719</v>
      </c>
      <c r="G22" t="s">
        <v>11</v>
      </c>
    </row>
    <row r="23" spans="1:7" x14ac:dyDescent="0.3">
      <c r="A23" s="1">
        <v>44757</v>
      </c>
      <c r="B23" t="s">
        <v>12</v>
      </c>
      <c r="C23" t="s">
        <v>13</v>
      </c>
      <c r="D23" t="s">
        <v>9</v>
      </c>
      <c r="E23" t="s">
        <v>10</v>
      </c>
      <c r="F23">
        <v>1659</v>
      </c>
      <c r="G23" t="s">
        <v>11</v>
      </c>
    </row>
    <row r="24" spans="1:7" x14ac:dyDescent="0.3">
      <c r="A24" s="1">
        <v>44757</v>
      </c>
      <c r="B24" t="s">
        <v>14</v>
      </c>
      <c r="C24" t="s">
        <v>15</v>
      </c>
      <c r="D24" t="s">
        <v>16</v>
      </c>
      <c r="E24" t="s">
        <v>10</v>
      </c>
      <c r="F24">
        <v>2124</v>
      </c>
      <c r="G24" t="s">
        <v>11</v>
      </c>
    </row>
    <row r="25" spans="1:7" x14ac:dyDescent="0.3">
      <c r="A25" s="1">
        <v>44757</v>
      </c>
      <c r="B25" t="s">
        <v>17</v>
      </c>
      <c r="C25" t="s">
        <v>18</v>
      </c>
      <c r="D25" t="s">
        <v>19</v>
      </c>
      <c r="E25" t="s">
        <v>20</v>
      </c>
      <c r="F25">
        <v>1293</v>
      </c>
      <c r="G25" t="s">
        <v>11</v>
      </c>
    </row>
    <row r="26" spans="1:7" x14ac:dyDescent="0.3">
      <c r="A26" s="1">
        <v>44788</v>
      </c>
      <c r="B26" t="s">
        <v>7</v>
      </c>
      <c r="C26" t="s">
        <v>8</v>
      </c>
      <c r="D26" t="s">
        <v>9</v>
      </c>
      <c r="E26" t="s">
        <v>10</v>
      </c>
      <c r="F26">
        <v>1724</v>
      </c>
      <c r="G26" t="s">
        <v>11</v>
      </c>
    </row>
    <row r="27" spans="1:7" x14ac:dyDescent="0.3">
      <c r="A27" s="1">
        <v>44788</v>
      </c>
      <c r="B27" t="s">
        <v>12</v>
      </c>
      <c r="C27" t="s">
        <v>13</v>
      </c>
      <c r="D27" t="s">
        <v>9</v>
      </c>
      <c r="E27" t="s">
        <v>10</v>
      </c>
      <c r="F27">
        <v>1703</v>
      </c>
      <c r="G27" t="s">
        <v>11</v>
      </c>
    </row>
    <row r="28" spans="1:7" x14ac:dyDescent="0.3">
      <c r="A28" s="1">
        <v>44788</v>
      </c>
      <c r="B28" t="s">
        <v>14</v>
      </c>
      <c r="C28" t="s">
        <v>15</v>
      </c>
      <c r="D28" t="s">
        <v>16</v>
      </c>
      <c r="E28" t="s">
        <v>10</v>
      </c>
      <c r="F28">
        <v>2132</v>
      </c>
      <c r="G28" t="s">
        <v>11</v>
      </c>
    </row>
    <row r="29" spans="1:7" x14ac:dyDescent="0.3">
      <c r="A29" s="1">
        <v>44788</v>
      </c>
      <c r="B29" t="s">
        <v>17</v>
      </c>
      <c r="C29" t="s">
        <v>18</v>
      </c>
      <c r="D29" t="s">
        <v>19</v>
      </c>
      <c r="E29" t="s">
        <v>20</v>
      </c>
      <c r="F29">
        <v>1263</v>
      </c>
      <c r="G29" t="s">
        <v>11</v>
      </c>
    </row>
    <row r="30" spans="1:7" x14ac:dyDescent="0.3">
      <c r="A30" s="1">
        <v>44819</v>
      </c>
      <c r="B30" t="s">
        <v>7</v>
      </c>
      <c r="C30" t="s">
        <v>8</v>
      </c>
      <c r="D30" t="s">
        <v>9</v>
      </c>
      <c r="E30" t="s">
        <v>10</v>
      </c>
      <c r="F30">
        <v>1794</v>
      </c>
      <c r="G30" t="s">
        <v>11</v>
      </c>
    </row>
    <row r="31" spans="1:7" x14ac:dyDescent="0.3">
      <c r="A31" s="1">
        <v>44819</v>
      </c>
      <c r="B31" t="s">
        <v>12</v>
      </c>
      <c r="C31" t="s">
        <v>13</v>
      </c>
      <c r="D31" t="s">
        <v>9</v>
      </c>
      <c r="E31" t="s">
        <v>10</v>
      </c>
      <c r="F31">
        <v>1663</v>
      </c>
      <c r="G31" t="s">
        <v>11</v>
      </c>
    </row>
    <row r="32" spans="1:7" x14ac:dyDescent="0.3">
      <c r="A32" s="1">
        <v>44819</v>
      </c>
      <c r="B32" t="s">
        <v>14</v>
      </c>
      <c r="C32" t="s">
        <v>15</v>
      </c>
      <c r="D32" t="s">
        <v>16</v>
      </c>
      <c r="E32" t="s">
        <v>10</v>
      </c>
      <c r="F32">
        <v>2164</v>
      </c>
      <c r="G32" t="s">
        <v>11</v>
      </c>
    </row>
    <row r="33" spans="1:7" x14ac:dyDescent="0.3">
      <c r="A33" s="1">
        <v>44819</v>
      </c>
      <c r="B33" t="s">
        <v>17</v>
      </c>
      <c r="C33" t="s">
        <v>18</v>
      </c>
      <c r="D33" t="s">
        <v>19</v>
      </c>
      <c r="E33" t="s">
        <v>20</v>
      </c>
      <c r="F33">
        <v>1209</v>
      </c>
      <c r="G33" t="s">
        <v>11</v>
      </c>
    </row>
    <row r="34" spans="1:7" x14ac:dyDescent="0.3">
      <c r="A34" s="1">
        <v>44849</v>
      </c>
      <c r="B34" t="s">
        <v>7</v>
      </c>
      <c r="C34" t="s">
        <v>8</v>
      </c>
      <c r="D34" t="s">
        <v>9</v>
      </c>
      <c r="E34" t="s">
        <v>10</v>
      </c>
      <c r="F34">
        <v>1779</v>
      </c>
      <c r="G34" t="s">
        <v>11</v>
      </c>
    </row>
    <row r="35" spans="1:7" x14ac:dyDescent="0.3">
      <c r="A35" s="1">
        <v>44849</v>
      </c>
      <c r="B35" t="s">
        <v>12</v>
      </c>
      <c r="C35" t="s">
        <v>13</v>
      </c>
      <c r="D35" t="s">
        <v>9</v>
      </c>
      <c r="E35" t="s">
        <v>10</v>
      </c>
      <c r="F35">
        <v>1703</v>
      </c>
      <c r="G35" t="s">
        <v>11</v>
      </c>
    </row>
    <row r="36" spans="1:7" x14ac:dyDescent="0.3">
      <c r="A36" s="1">
        <v>44849</v>
      </c>
      <c r="B36" t="s">
        <v>14</v>
      </c>
      <c r="C36" t="s">
        <v>15</v>
      </c>
      <c r="D36" t="s">
        <v>16</v>
      </c>
      <c r="E36" t="s">
        <v>10</v>
      </c>
      <c r="F36">
        <v>2224</v>
      </c>
      <c r="G36" t="s">
        <v>11</v>
      </c>
    </row>
    <row r="37" spans="1:7" x14ac:dyDescent="0.3">
      <c r="A37" s="1">
        <v>44849</v>
      </c>
      <c r="B37" t="s">
        <v>17</v>
      </c>
      <c r="C37" t="s">
        <v>18</v>
      </c>
      <c r="D37" t="s">
        <v>19</v>
      </c>
      <c r="E37" t="s">
        <v>20</v>
      </c>
      <c r="F37">
        <v>1279</v>
      </c>
      <c r="G37" t="s">
        <v>11</v>
      </c>
    </row>
    <row r="38" spans="1:7" x14ac:dyDescent="0.3">
      <c r="A38" s="1">
        <v>44880</v>
      </c>
      <c r="B38" t="s">
        <v>7</v>
      </c>
      <c r="C38" t="s">
        <v>8</v>
      </c>
      <c r="D38" t="s">
        <v>9</v>
      </c>
      <c r="E38" t="s">
        <v>10</v>
      </c>
      <c r="F38">
        <v>1830</v>
      </c>
      <c r="G38" t="s">
        <v>11</v>
      </c>
    </row>
    <row r="39" spans="1:7" x14ac:dyDescent="0.3">
      <c r="A39" s="1">
        <v>44880</v>
      </c>
      <c r="B39" t="s">
        <v>12</v>
      </c>
      <c r="C39" t="s">
        <v>13</v>
      </c>
      <c r="D39" t="s">
        <v>9</v>
      </c>
      <c r="E39" t="s">
        <v>10</v>
      </c>
      <c r="F39">
        <v>1818</v>
      </c>
      <c r="G39" t="s">
        <v>11</v>
      </c>
    </row>
    <row r="40" spans="1:7" x14ac:dyDescent="0.3">
      <c r="A40" s="1">
        <v>44880</v>
      </c>
      <c r="B40" t="s">
        <v>14</v>
      </c>
      <c r="C40" t="s">
        <v>15</v>
      </c>
      <c r="D40" t="s">
        <v>16</v>
      </c>
      <c r="E40" t="s">
        <v>10</v>
      </c>
      <c r="F40">
        <v>2233</v>
      </c>
      <c r="G40" t="s">
        <v>11</v>
      </c>
    </row>
    <row r="41" spans="1:7" x14ac:dyDescent="0.3">
      <c r="A41" s="1">
        <v>44880</v>
      </c>
      <c r="B41" t="s">
        <v>17</v>
      </c>
      <c r="C41" t="s">
        <v>18</v>
      </c>
      <c r="D41" t="s">
        <v>19</v>
      </c>
      <c r="E41" t="s">
        <v>20</v>
      </c>
      <c r="F41">
        <v>1124</v>
      </c>
      <c r="G41" t="s">
        <v>11</v>
      </c>
    </row>
    <row r="42" spans="1:7" x14ac:dyDescent="0.3">
      <c r="A42" s="1">
        <v>44910</v>
      </c>
      <c r="B42" t="s">
        <v>7</v>
      </c>
      <c r="C42" t="s">
        <v>8</v>
      </c>
      <c r="D42" t="s">
        <v>9</v>
      </c>
      <c r="E42" t="s">
        <v>10</v>
      </c>
      <c r="F42">
        <v>1840</v>
      </c>
      <c r="G42" t="s">
        <v>11</v>
      </c>
    </row>
    <row r="43" spans="1:7" x14ac:dyDescent="0.3">
      <c r="A43" s="1">
        <v>44910</v>
      </c>
      <c r="B43" t="s">
        <v>12</v>
      </c>
      <c r="C43" t="s">
        <v>13</v>
      </c>
      <c r="D43" t="s">
        <v>9</v>
      </c>
      <c r="E43" t="s">
        <v>10</v>
      </c>
      <c r="F43">
        <v>1766</v>
      </c>
      <c r="G43" t="s">
        <v>11</v>
      </c>
    </row>
    <row r="44" spans="1:7" x14ac:dyDescent="0.3">
      <c r="A44" s="1">
        <v>44910</v>
      </c>
      <c r="B44" t="s">
        <v>14</v>
      </c>
      <c r="C44" t="s">
        <v>15</v>
      </c>
      <c r="D44" t="s">
        <v>16</v>
      </c>
      <c r="E44" t="s">
        <v>10</v>
      </c>
      <c r="F44">
        <v>2235</v>
      </c>
      <c r="G44" t="s">
        <v>11</v>
      </c>
    </row>
    <row r="45" spans="1:7" x14ac:dyDescent="0.3">
      <c r="A45" s="1">
        <v>44910</v>
      </c>
      <c r="B45" t="s">
        <v>17</v>
      </c>
      <c r="C45" t="s">
        <v>18</v>
      </c>
      <c r="D45" t="s">
        <v>19</v>
      </c>
      <c r="E45" t="s">
        <v>20</v>
      </c>
      <c r="F45">
        <v>1248</v>
      </c>
      <c r="G45" t="s">
        <v>11</v>
      </c>
    </row>
    <row r="46" spans="1:7" x14ac:dyDescent="0.3">
      <c r="A46" s="1">
        <v>44941</v>
      </c>
      <c r="B46" t="s">
        <v>7</v>
      </c>
      <c r="C46" t="s">
        <v>8</v>
      </c>
      <c r="D46" t="s">
        <v>9</v>
      </c>
      <c r="E46" t="s">
        <v>10</v>
      </c>
      <c r="F46">
        <v>1895</v>
      </c>
      <c r="G46" t="s">
        <v>11</v>
      </c>
    </row>
    <row r="47" spans="1:7" x14ac:dyDescent="0.3">
      <c r="A47" s="1">
        <v>44941</v>
      </c>
      <c r="B47" t="s">
        <v>12</v>
      </c>
      <c r="C47" t="s">
        <v>13</v>
      </c>
      <c r="D47" t="s">
        <v>9</v>
      </c>
      <c r="E47" t="s">
        <v>10</v>
      </c>
      <c r="F47">
        <v>1674</v>
      </c>
      <c r="G47" t="s">
        <v>11</v>
      </c>
    </row>
    <row r="48" spans="1:7" x14ac:dyDescent="0.3">
      <c r="A48" s="1">
        <v>44941</v>
      </c>
      <c r="B48" t="s">
        <v>14</v>
      </c>
      <c r="C48" t="s">
        <v>15</v>
      </c>
      <c r="D48" t="s">
        <v>16</v>
      </c>
      <c r="E48" t="s">
        <v>10</v>
      </c>
      <c r="F48">
        <v>2178</v>
      </c>
      <c r="G48" t="s">
        <v>11</v>
      </c>
    </row>
    <row r="49" spans="1:7" x14ac:dyDescent="0.3">
      <c r="A49" s="1">
        <v>44941</v>
      </c>
      <c r="B49" t="s">
        <v>17</v>
      </c>
      <c r="C49" t="s">
        <v>18</v>
      </c>
      <c r="D49" t="s">
        <v>19</v>
      </c>
      <c r="E49" t="s">
        <v>20</v>
      </c>
      <c r="F49">
        <v>1167</v>
      </c>
      <c r="G49" t="s">
        <v>11</v>
      </c>
    </row>
    <row r="50" spans="1:7" x14ac:dyDescent="0.3">
      <c r="A50" s="1">
        <v>44972</v>
      </c>
      <c r="B50" t="s">
        <v>7</v>
      </c>
      <c r="C50" t="s">
        <v>8</v>
      </c>
      <c r="D50" t="s">
        <v>9</v>
      </c>
      <c r="E50" t="s">
        <v>10</v>
      </c>
      <c r="F50">
        <v>1872</v>
      </c>
      <c r="G50" t="s">
        <v>11</v>
      </c>
    </row>
    <row r="51" spans="1:7" x14ac:dyDescent="0.3">
      <c r="A51" s="1">
        <v>44972</v>
      </c>
      <c r="B51" t="s">
        <v>12</v>
      </c>
      <c r="C51" t="s">
        <v>13</v>
      </c>
      <c r="D51" t="s">
        <v>9</v>
      </c>
      <c r="E51" t="s">
        <v>10</v>
      </c>
      <c r="F51">
        <v>1837</v>
      </c>
      <c r="G51" t="s">
        <v>11</v>
      </c>
    </row>
    <row r="52" spans="1:7" x14ac:dyDescent="0.3">
      <c r="A52" s="1">
        <v>44972</v>
      </c>
      <c r="B52" t="s">
        <v>14</v>
      </c>
      <c r="C52" t="s">
        <v>15</v>
      </c>
      <c r="D52" t="s">
        <v>16</v>
      </c>
      <c r="E52" t="s">
        <v>10</v>
      </c>
      <c r="F52">
        <v>2111</v>
      </c>
      <c r="G52" t="s">
        <v>11</v>
      </c>
    </row>
    <row r="53" spans="1:7" x14ac:dyDescent="0.3">
      <c r="A53" s="1">
        <v>44972</v>
      </c>
      <c r="B53" t="s">
        <v>17</v>
      </c>
      <c r="C53" t="s">
        <v>18</v>
      </c>
      <c r="D53" t="s">
        <v>19</v>
      </c>
      <c r="E53" t="s">
        <v>20</v>
      </c>
      <c r="F53">
        <v>1131</v>
      </c>
      <c r="G53" t="s">
        <v>11</v>
      </c>
    </row>
    <row r="54" spans="1:7" x14ac:dyDescent="0.3">
      <c r="A54" s="1">
        <v>45000</v>
      </c>
      <c r="B54" t="s">
        <v>7</v>
      </c>
      <c r="C54" t="s">
        <v>8</v>
      </c>
      <c r="D54" t="s">
        <v>9</v>
      </c>
      <c r="E54" t="s">
        <v>10</v>
      </c>
      <c r="F54">
        <v>1827</v>
      </c>
      <c r="G54" t="s">
        <v>11</v>
      </c>
    </row>
    <row r="55" spans="1:7" x14ac:dyDescent="0.3">
      <c r="A55" s="1">
        <v>45000</v>
      </c>
      <c r="B55" t="s">
        <v>12</v>
      </c>
      <c r="C55" t="s">
        <v>13</v>
      </c>
      <c r="D55" t="s">
        <v>9</v>
      </c>
      <c r="E55" t="s">
        <v>10</v>
      </c>
      <c r="F55">
        <v>1745</v>
      </c>
      <c r="G55" t="s">
        <v>11</v>
      </c>
    </row>
    <row r="56" spans="1:7" x14ac:dyDescent="0.3">
      <c r="A56" s="1">
        <v>45000</v>
      </c>
      <c r="B56" t="s">
        <v>14</v>
      </c>
      <c r="C56" t="s">
        <v>15</v>
      </c>
      <c r="D56" t="s">
        <v>16</v>
      </c>
      <c r="E56" t="s">
        <v>10</v>
      </c>
      <c r="F56">
        <v>2191</v>
      </c>
      <c r="G56" t="s">
        <v>11</v>
      </c>
    </row>
    <row r="57" spans="1:7" x14ac:dyDescent="0.3">
      <c r="A57" s="1">
        <v>45000</v>
      </c>
      <c r="B57" t="s">
        <v>17</v>
      </c>
      <c r="C57" t="s">
        <v>18</v>
      </c>
      <c r="D57" t="s">
        <v>19</v>
      </c>
      <c r="E57" t="s">
        <v>20</v>
      </c>
      <c r="F57">
        <v>1240</v>
      </c>
      <c r="G57" t="s">
        <v>11</v>
      </c>
    </row>
    <row r="58" spans="1:7" x14ac:dyDescent="0.3">
      <c r="A58" s="1">
        <v>45031</v>
      </c>
      <c r="B58" t="s">
        <v>7</v>
      </c>
      <c r="C58" t="s">
        <v>8</v>
      </c>
      <c r="D58" t="s">
        <v>9</v>
      </c>
      <c r="E58" t="s">
        <v>10</v>
      </c>
      <c r="F58">
        <v>1730</v>
      </c>
      <c r="G58" t="s">
        <v>11</v>
      </c>
    </row>
    <row r="59" spans="1:7" x14ac:dyDescent="0.3">
      <c r="A59" s="1">
        <v>45031</v>
      </c>
      <c r="B59" t="s">
        <v>12</v>
      </c>
      <c r="C59" t="s">
        <v>13</v>
      </c>
      <c r="D59" t="s">
        <v>9</v>
      </c>
      <c r="E59" t="s">
        <v>10</v>
      </c>
      <c r="F59">
        <v>1727</v>
      </c>
      <c r="G59" t="s">
        <v>11</v>
      </c>
    </row>
    <row r="60" spans="1:7" x14ac:dyDescent="0.3">
      <c r="A60" s="1">
        <v>45031</v>
      </c>
      <c r="B60" t="s">
        <v>14</v>
      </c>
      <c r="C60" t="s">
        <v>15</v>
      </c>
      <c r="D60" t="s">
        <v>16</v>
      </c>
      <c r="E60" t="s">
        <v>10</v>
      </c>
      <c r="F60">
        <v>2119</v>
      </c>
      <c r="G60" t="s">
        <v>11</v>
      </c>
    </row>
    <row r="61" spans="1:7" x14ac:dyDescent="0.3">
      <c r="A61" s="1">
        <v>45031</v>
      </c>
      <c r="B61" t="s">
        <v>17</v>
      </c>
      <c r="C61" t="s">
        <v>18</v>
      </c>
      <c r="D61" t="s">
        <v>19</v>
      </c>
      <c r="E61" t="s">
        <v>20</v>
      </c>
      <c r="F61">
        <v>1245</v>
      </c>
      <c r="G61" t="s">
        <v>11</v>
      </c>
    </row>
    <row r="62" spans="1:7" x14ac:dyDescent="0.3">
      <c r="A62" s="1">
        <v>45061</v>
      </c>
      <c r="B62" t="s">
        <v>7</v>
      </c>
      <c r="C62" t="s">
        <v>8</v>
      </c>
      <c r="D62" t="s">
        <v>9</v>
      </c>
      <c r="E62" t="s">
        <v>10</v>
      </c>
      <c r="F62">
        <v>1759</v>
      </c>
      <c r="G62" t="s">
        <v>11</v>
      </c>
    </row>
    <row r="63" spans="1:7" x14ac:dyDescent="0.3">
      <c r="A63" s="1">
        <v>45061</v>
      </c>
      <c r="B63" t="s">
        <v>12</v>
      </c>
      <c r="C63" t="s">
        <v>13</v>
      </c>
      <c r="D63" t="s">
        <v>9</v>
      </c>
      <c r="E63" t="s">
        <v>10</v>
      </c>
      <c r="F63">
        <v>1840</v>
      </c>
      <c r="G63" t="s">
        <v>11</v>
      </c>
    </row>
    <row r="64" spans="1:7" x14ac:dyDescent="0.3">
      <c r="A64" s="1">
        <v>45061</v>
      </c>
      <c r="B64" t="s">
        <v>14</v>
      </c>
      <c r="C64" t="s">
        <v>15</v>
      </c>
      <c r="D64" t="s">
        <v>16</v>
      </c>
      <c r="E64" t="s">
        <v>10</v>
      </c>
      <c r="F64">
        <v>2233</v>
      </c>
      <c r="G64" t="s">
        <v>11</v>
      </c>
    </row>
    <row r="65" spans="1:7" x14ac:dyDescent="0.3">
      <c r="A65" s="1">
        <v>45061</v>
      </c>
      <c r="B65" t="s">
        <v>17</v>
      </c>
      <c r="C65" t="s">
        <v>18</v>
      </c>
      <c r="D65" t="s">
        <v>19</v>
      </c>
      <c r="E65" t="s">
        <v>20</v>
      </c>
      <c r="F65">
        <v>1259</v>
      </c>
      <c r="G65" t="s">
        <v>11</v>
      </c>
    </row>
    <row r="66" spans="1:7" x14ac:dyDescent="0.3">
      <c r="A66" s="1">
        <v>45092</v>
      </c>
      <c r="B66" t="s">
        <v>7</v>
      </c>
      <c r="C66" t="s">
        <v>8</v>
      </c>
      <c r="D66" t="s">
        <v>9</v>
      </c>
      <c r="E66" t="s">
        <v>10</v>
      </c>
      <c r="F66">
        <v>1792</v>
      </c>
      <c r="G66" t="s">
        <v>11</v>
      </c>
    </row>
    <row r="67" spans="1:7" x14ac:dyDescent="0.3">
      <c r="A67" s="1">
        <v>45092</v>
      </c>
      <c r="B67" t="s">
        <v>12</v>
      </c>
      <c r="C67" t="s">
        <v>13</v>
      </c>
      <c r="D67" t="s">
        <v>9</v>
      </c>
      <c r="E67" t="s">
        <v>10</v>
      </c>
      <c r="F67">
        <v>1692</v>
      </c>
      <c r="G67" t="s">
        <v>11</v>
      </c>
    </row>
    <row r="68" spans="1:7" x14ac:dyDescent="0.3">
      <c r="A68" s="1">
        <v>45092</v>
      </c>
      <c r="B68" t="s">
        <v>14</v>
      </c>
      <c r="C68" t="s">
        <v>15</v>
      </c>
      <c r="D68" t="s">
        <v>16</v>
      </c>
      <c r="E68" t="s">
        <v>10</v>
      </c>
      <c r="F68">
        <v>2229</v>
      </c>
      <c r="G68" t="s">
        <v>11</v>
      </c>
    </row>
    <row r="69" spans="1:7" x14ac:dyDescent="0.3">
      <c r="A69" s="1">
        <v>45092</v>
      </c>
      <c r="B69" t="s">
        <v>17</v>
      </c>
      <c r="C69" t="s">
        <v>18</v>
      </c>
      <c r="D69" t="s">
        <v>19</v>
      </c>
      <c r="E69" t="s">
        <v>20</v>
      </c>
      <c r="F69">
        <v>1159</v>
      </c>
      <c r="G69" t="s">
        <v>11</v>
      </c>
    </row>
    <row r="70" spans="1:7" x14ac:dyDescent="0.3">
      <c r="A70" s="1">
        <v>45122</v>
      </c>
      <c r="B70" t="s">
        <v>7</v>
      </c>
      <c r="C70" t="s">
        <v>8</v>
      </c>
      <c r="D70" t="s">
        <v>9</v>
      </c>
      <c r="E70" t="s">
        <v>10</v>
      </c>
      <c r="F70">
        <v>1850</v>
      </c>
      <c r="G70" t="s">
        <v>11</v>
      </c>
    </row>
    <row r="71" spans="1:7" x14ac:dyDescent="0.3">
      <c r="A71" s="1">
        <v>45122</v>
      </c>
      <c r="B71" t="s">
        <v>12</v>
      </c>
      <c r="C71" t="s">
        <v>13</v>
      </c>
      <c r="D71" t="s">
        <v>9</v>
      </c>
      <c r="E71" t="s">
        <v>10</v>
      </c>
      <c r="F71">
        <v>1680</v>
      </c>
      <c r="G71" t="s">
        <v>11</v>
      </c>
    </row>
    <row r="72" spans="1:7" x14ac:dyDescent="0.3">
      <c r="A72" s="1">
        <v>45122</v>
      </c>
      <c r="B72" t="s">
        <v>14</v>
      </c>
      <c r="C72" t="s">
        <v>15</v>
      </c>
      <c r="D72" t="s">
        <v>16</v>
      </c>
      <c r="E72" t="s">
        <v>10</v>
      </c>
      <c r="F72">
        <v>2104</v>
      </c>
      <c r="G72" t="s">
        <v>11</v>
      </c>
    </row>
    <row r="73" spans="1:7" x14ac:dyDescent="0.3">
      <c r="A73" s="1">
        <v>45122</v>
      </c>
      <c r="B73" t="s">
        <v>17</v>
      </c>
      <c r="C73" t="s">
        <v>18</v>
      </c>
      <c r="D73" t="s">
        <v>19</v>
      </c>
      <c r="E73" t="s">
        <v>20</v>
      </c>
      <c r="F73">
        <v>1261</v>
      </c>
      <c r="G73" t="s">
        <v>11</v>
      </c>
    </row>
    <row r="74" spans="1:7" x14ac:dyDescent="0.3">
      <c r="A74" s="1">
        <v>45153</v>
      </c>
      <c r="B74" t="s">
        <v>7</v>
      </c>
      <c r="C74" t="s">
        <v>8</v>
      </c>
      <c r="D74" t="s">
        <v>9</v>
      </c>
      <c r="E74" t="s">
        <v>10</v>
      </c>
      <c r="F74">
        <v>1709</v>
      </c>
      <c r="G74" t="s">
        <v>11</v>
      </c>
    </row>
    <row r="75" spans="1:7" x14ac:dyDescent="0.3">
      <c r="A75" s="1">
        <v>45153</v>
      </c>
      <c r="B75" t="s">
        <v>12</v>
      </c>
      <c r="C75" t="s">
        <v>13</v>
      </c>
      <c r="D75" t="s">
        <v>9</v>
      </c>
      <c r="E75" t="s">
        <v>10</v>
      </c>
      <c r="F75">
        <v>1738</v>
      </c>
      <c r="G75" t="s">
        <v>11</v>
      </c>
    </row>
    <row r="76" spans="1:7" x14ac:dyDescent="0.3">
      <c r="A76" s="1">
        <v>45153</v>
      </c>
      <c r="B76" t="s">
        <v>14</v>
      </c>
      <c r="C76" t="s">
        <v>15</v>
      </c>
      <c r="D76" t="s">
        <v>16</v>
      </c>
      <c r="E76" t="s">
        <v>10</v>
      </c>
      <c r="F76">
        <v>2229</v>
      </c>
      <c r="G76" t="s">
        <v>11</v>
      </c>
    </row>
    <row r="77" spans="1:7" x14ac:dyDescent="0.3">
      <c r="A77" s="1">
        <v>45153</v>
      </c>
      <c r="B77" t="s">
        <v>17</v>
      </c>
      <c r="C77" t="s">
        <v>18</v>
      </c>
      <c r="D77" t="s">
        <v>19</v>
      </c>
      <c r="E77" t="s">
        <v>20</v>
      </c>
      <c r="F77">
        <v>1225</v>
      </c>
      <c r="G77" t="s">
        <v>11</v>
      </c>
    </row>
    <row r="78" spans="1:7" x14ac:dyDescent="0.3">
      <c r="A78" s="1">
        <v>45184</v>
      </c>
      <c r="B78" t="s">
        <v>7</v>
      </c>
      <c r="C78" t="s">
        <v>8</v>
      </c>
      <c r="D78" t="s">
        <v>9</v>
      </c>
      <c r="E78" t="s">
        <v>10</v>
      </c>
      <c r="F78">
        <v>1710</v>
      </c>
      <c r="G78" t="s">
        <v>11</v>
      </c>
    </row>
    <row r="79" spans="1:7" x14ac:dyDescent="0.3">
      <c r="A79" s="1">
        <v>45184</v>
      </c>
      <c r="B79" t="s">
        <v>12</v>
      </c>
      <c r="C79" t="s">
        <v>13</v>
      </c>
      <c r="D79" t="s">
        <v>9</v>
      </c>
      <c r="E79" t="s">
        <v>10</v>
      </c>
      <c r="F79">
        <v>1827</v>
      </c>
      <c r="G79" t="s">
        <v>11</v>
      </c>
    </row>
    <row r="80" spans="1:7" x14ac:dyDescent="0.3">
      <c r="A80" s="1">
        <v>45184</v>
      </c>
      <c r="B80" t="s">
        <v>14</v>
      </c>
      <c r="C80" t="s">
        <v>15</v>
      </c>
      <c r="D80" t="s">
        <v>16</v>
      </c>
      <c r="E80" t="s">
        <v>10</v>
      </c>
      <c r="F80">
        <v>2258</v>
      </c>
      <c r="G80" t="s">
        <v>11</v>
      </c>
    </row>
    <row r="81" spans="1:7" x14ac:dyDescent="0.3">
      <c r="A81" s="1">
        <v>45184</v>
      </c>
      <c r="B81" t="s">
        <v>17</v>
      </c>
      <c r="C81" t="s">
        <v>18</v>
      </c>
      <c r="D81" t="s">
        <v>19</v>
      </c>
      <c r="E81" t="s">
        <v>20</v>
      </c>
      <c r="F81">
        <v>1155</v>
      </c>
      <c r="G81" t="s">
        <v>11</v>
      </c>
    </row>
    <row r="82" spans="1:7" x14ac:dyDescent="0.3">
      <c r="A82" s="1">
        <v>45214</v>
      </c>
      <c r="B82" t="s">
        <v>7</v>
      </c>
      <c r="C82" t="s">
        <v>8</v>
      </c>
      <c r="D82" t="s">
        <v>9</v>
      </c>
      <c r="E82" t="s">
        <v>10</v>
      </c>
      <c r="F82">
        <v>1782</v>
      </c>
      <c r="G82" t="s">
        <v>11</v>
      </c>
    </row>
    <row r="83" spans="1:7" x14ac:dyDescent="0.3">
      <c r="A83" s="1">
        <v>45214</v>
      </c>
      <c r="B83" t="s">
        <v>12</v>
      </c>
      <c r="C83" t="s">
        <v>13</v>
      </c>
      <c r="D83" t="s">
        <v>9</v>
      </c>
      <c r="E83" t="s">
        <v>10</v>
      </c>
      <c r="F83">
        <v>1786</v>
      </c>
      <c r="G83" t="s">
        <v>11</v>
      </c>
    </row>
    <row r="84" spans="1:7" x14ac:dyDescent="0.3">
      <c r="A84" s="1">
        <v>45214</v>
      </c>
      <c r="B84" t="s">
        <v>14</v>
      </c>
      <c r="C84" t="s">
        <v>15</v>
      </c>
      <c r="D84" t="s">
        <v>16</v>
      </c>
      <c r="E84" t="s">
        <v>10</v>
      </c>
      <c r="F84">
        <v>2198</v>
      </c>
      <c r="G84" t="s">
        <v>11</v>
      </c>
    </row>
    <row r="85" spans="1:7" x14ac:dyDescent="0.3">
      <c r="A85" s="1">
        <v>45214</v>
      </c>
      <c r="B85" t="s">
        <v>17</v>
      </c>
      <c r="C85" t="s">
        <v>18</v>
      </c>
      <c r="D85" t="s">
        <v>19</v>
      </c>
      <c r="E85" t="s">
        <v>20</v>
      </c>
      <c r="F85">
        <v>1248</v>
      </c>
      <c r="G85" t="s">
        <v>11</v>
      </c>
    </row>
    <row r="86" spans="1:7" x14ac:dyDescent="0.3">
      <c r="A86" s="1">
        <v>45245</v>
      </c>
      <c r="B86" t="s">
        <v>7</v>
      </c>
      <c r="C86" t="s">
        <v>8</v>
      </c>
      <c r="D86" t="s">
        <v>9</v>
      </c>
      <c r="E86" t="s">
        <v>10</v>
      </c>
      <c r="F86">
        <v>1772</v>
      </c>
      <c r="G86" t="s">
        <v>11</v>
      </c>
    </row>
    <row r="87" spans="1:7" x14ac:dyDescent="0.3">
      <c r="A87" s="1">
        <v>45245</v>
      </c>
      <c r="B87" t="s">
        <v>12</v>
      </c>
      <c r="C87" t="s">
        <v>13</v>
      </c>
      <c r="D87" t="s">
        <v>9</v>
      </c>
      <c r="E87" t="s">
        <v>10</v>
      </c>
      <c r="F87">
        <v>1805</v>
      </c>
      <c r="G87" t="s">
        <v>11</v>
      </c>
    </row>
    <row r="88" spans="1:7" x14ac:dyDescent="0.3">
      <c r="A88" s="1">
        <v>45245</v>
      </c>
      <c r="B88" t="s">
        <v>14</v>
      </c>
      <c r="C88" t="s">
        <v>15</v>
      </c>
      <c r="D88" t="s">
        <v>16</v>
      </c>
      <c r="E88" t="s">
        <v>10</v>
      </c>
      <c r="F88">
        <v>2289</v>
      </c>
      <c r="G88" t="s">
        <v>11</v>
      </c>
    </row>
    <row r="89" spans="1:7" x14ac:dyDescent="0.3">
      <c r="A89" s="1">
        <v>45245</v>
      </c>
      <c r="B89" t="s">
        <v>17</v>
      </c>
      <c r="C89" t="s">
        <v>18</v>
      </c>
      <c r="D89" t="s">
        <v>19</v>
      </c>
      <c r="E89" t="s">
        <v>20</v>
      </c>
      <c r="F89">
        <v>1214</v>
      </c>
      <c r="G89" t="s">
        <v>11</v>
      </c>
    </row>
    <row r="90" spans="1:7" x14ac:dyDescent="0.3">
      <c r="A90" s="1">
        <v>45275</v>
      </c>
      <c r="B90" t="s">
        <v>7</v>
      </c>
      <c r="C90" t="s">
        <v>8</v>
      </c>
      <c r="D90" t="s">
        <v>9</v>
      </c>
      <c r="E90" t="s">
        <v>10</v>
      </c>
      <c r="F90">
        <v>1706</v>
      </c>
      <c r="G90" t="s">
        <v>11</v>
      </c>
    </row>
    <row r="91" spans="1:7" x14ac:dyDescent="0.3">
      <c r="A91" s="1">
        <v>45275</v>
      </c>
      <c r="B91" t="s">
        <v>12</v>
      </c>
      <c r="C91" t="s">
        <v>13</v>
      </c>
      <c r="D91" t="s">
        <v>9</v>
      </c>
      <c r="E91" t="s">
        <v>10</v>
      </c>
      <c r="F91">
        <v>1729</v>
      </c>
      <c r="G91" t="s">
        <v>11</v>
      </c>
    </row>
    <row r="92" spans="1:7" x14ac:dyDescent="0.3">
      <c r="A92" s="1">
        <v>45275</v>
      </c>
      <c r="B92" t="s">
        <v>14</v>
      </c>
      <c r="C92" t="s">
        <v>15</v>
      </c>
      <c r="D92" t="s">
        <v>16</v>
      </c>
      <c r="E92" t="s">
        <v>10</v>
      </c>
      <c r="F92">
        <v>2243</v>
      </c>
      <c r="G92" t="s">
        <v>11</v>
      </c>
    </row>
    <row r="93" spans="1:7" x14ac:dyDescent="0.3">
      <c r="A93" s="1">
        <v>45275</v>
      </c>
      <c r="B93" t="s">
        <v>17</v>
      </c>
      <c r="C93" t="s">
        <v>18</v>
      </c>
      <c r="D93" t="s">
        <v>19</v>
      </c>
      <c r="E93" t="s">
        <v>20</v>
      </c>
      <c r="F93">
        <v>1196</v>
      </c>
      <c r="G93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P5" sqref="P5"/>
    </sheetView>
  </sheetViews>
  <sheetFormatPr defaultRowHeight="14.4" x14ac:dyDescent="0.3"/>
  <cols>
    <col min="15" max="15" width="13.109375" customWidth="1"/>
    <col min="16" max="16" width="15.33203125" customWidth="1"/>
  </cols>
  <sheetData>
    <row r="1" spans="1:18" x14ac:dyDescent="0.3">
      <c r="A1" s="8" t="s">
        <v>24</v>
      </c>
      <c r="B1" s="8"/>
      <c r="C1" s="8"/>
      <c r="D1" s="8"/>
      <c r="E1" s="8"/>
      <c r="F1" s="8"/>
      <c r="H1" s="8" t="s">
        <v>25</v>
      </c>
      <c r="I1" s="5"/>
      <c r="J1" s="5"/>
      <c r="K1" s="5"/>
      <c r="L1" s="5"/>
      <c r="M1" s="5"/>
    </row>
    <row r="2" spans="1:18" x14ac:dyDescent="0.3">
      <c r="A2" s="8"/>
      <c r="B2" s="8"/>
      <c r="C2" s="8"/>
      <c r="D2" s="8"/>
      <c r="E2" s="8"/>
      <c r="F2" s="8"/>
      <c r="H2" s="5"/>
      <c r="I2" s="5"/>
      <c r="J2" s="5"/>
      <c r="K2" s="5"/>
      <c r="L2" s="5"/>
      <c r="M2" s="5"/>
    </row>
    <row r="4" spans="1:18" x14ac:dyDescent="0.3">
      <c r="O4" s="11" t="s">
        <v>28</v>
      </c>
      <c r="P4" s="18">
        <v>159854</v>
      </c>
    </row>
    <row r="5" spans="1:18" x14ac:dyDescent="0.3">
      <c r="O5" s="10" t="s">
        <v>30</v>
      </c>
      <c r="P5" s="19">
        <v>1737.5429999999999</v>
      </c>
    </row>
    <row r="7" spans="1:18" ht="14.4" customHeight="1" x14ac:dyDescent="0.3">
      <c r="O7" s="14" t="s">
        <v>32</v>
      </c>
      <c r="P7" s="14"/>
      <c r="Q7" s="9"/>
      <c r="R7" s="9"/>
    </row>
    <row r="8" spans="1:18" ht="14.4" customHeight="1" x14ac:dyDescent="0.3">
      <c r="O8" s="14"/>
      <c r="P8" s="14"/>
      <c r="Q8" s="9"/>
      <c r="R8" s="9"/>
    </row>
    <row r="9" spans="1:18" x14ac:dyDescent="0.3">
      <c r="O9" s="15" t="s">
        <v>21</v>
      </c>
      <c r="P9" s="15" t="s">
        <v>31</v>
      </c>
    </row>
    <row r="10" spans="1:18" x14ac:dyDescent="0.3">
      <c r="O10" s="16" t="s">
        <v>8</v>
      </c>
      <c r="P10" s="17">
        <v>23</v>
      </c>
      <c r="Q10" s="3"/>
      <c r="R10" s="4"/>
    </row>
    <row r="11" spans="1:18" x14ac:dyDescent="0.3">
      <c r="O11" s="16" t="s">
        <v>13</v>
      </c>
      <c r="P11" s="17">
        <v>23</v>
      </c>
      <c r="Q11" s="3"/>
      <c r="R11" s="4"/>
    </row>
    <row r="12" spans="1:18" x14ac:dyDescent="0.3">
      <c r="O12" s="16" t="s">
        <v>15</v>
      </c>
      <c r="P12" s="17">
        <v>23</v>
      </c>
      <c r="Q12" s="3"/>
      <c r="R12" s="4"/>
    </row>
    <row r="13" spans="1:18" x14ac:dyDescent="0.3">
      <c r="O13" s="16" t="s">
        <v>18</v>
      </c>
      <c r="P13" s="17">
        <v>23</v>
      </c>
      <c r="Q13" s="3"/>
      <c r="R13" s="4"/>
    </row>
    <row r="14" spans="1:18" x14ac:dyDescent="0.3">
      <c r="O14" s="16" t="s">
        <v>22</v>
      </c>
      <c r="P14" s="17">
        <v>92</v>
      </c>
      <c r="Q14" s="3"/>
      <c r="R14" s="4"/>
    </row>
    <row r="16" spans="1:18" x14ac:dyDescent="0.3">
      <c r="O16" s="13" t="s">
        <v>33</v>
      </c>
      <c r="P16" s="12">
        <v>69</v>
      </c>
    </row>
    <row r="20" spans="3:10" x14ac:dyDescent="0.3">
      <c r="C20" s="8" t="s">
        <v>26</v>
      </c>
      <c r="D20" s="8"/>
      <c r="E20" s="8"/>
      <c r="F20" s="8"/>
      <c r="G20" s="8"/>
      <c r="H20" s="8"/>
      <c r="I20" s="8"/>
      <c r="J20" s="8"/>
    </row>
    <row r="21" spans="3:10" x14ac:dyDescent="0.3">
      <c r="C21" s="8"/>
      <c r="D21" s="8"/>
      <c r="E21" s="8"/>
      <c r="F21" s="8"/>
      <c r="G21" s="8"/>
      <c r="H21" s="8"/>
      <c r="I21" s="8"/>
      <c r="J21" s="8"/>
    </row>
  </sheetData>
  <mergeCells count="5">
    <mergeCell ref="A1:F2"/>
    <mergeCell ref="H1:M2"/>
    <mergeCell ref="C20:J21"/>
    <mergeCell ref="O7:P8"/>
    <mergeCell ref="Q7:R8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total_payroll</vt:lpstr>
      <vt:lpstr>payroll_type</vt:lpstr>
      <vt:lpstr>monthly_payroll</vt:lpstr>
      <vt:lpstr>total_employee</vt:lpstr>
      <vt:lpstr>gusto_payroll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2025-12-30T05:55:17Z</dcterms:created>
  <dcterms:modified xsi:type="dcterms:W3CDTF">2025-12-30T05:55:17Z</dcterms:modified>
</cp:coreProperties>
</file>